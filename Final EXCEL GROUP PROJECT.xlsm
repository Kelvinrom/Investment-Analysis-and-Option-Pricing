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kelvi\Downloads\"/>
    </mc:Choice>
  </mc:AlternateContent>
  <xr:revisionPtr revIDLastSave="0" documentId="13_ncr:1_{3BEC0D0B-9FBA-4152-B245-871A56944130}" xr6:coauthVersionLast="47" xr6:coauthVersionMax="47" xr10:uidLastSave="{00000000-0000-0000-0000-000000000000}"/>
  <bookViews>
    <workbookView xWindow="-110" yWindow="-110" windowWidth="19420" windowHeight="10300" xr2:uid="{5A50D732-CFE3-4F07-A5F9-BAFE1520E7BA}"/>
  </bookViews>
  <sheets>
    <sheet name="READ ME" sheetId="9" r:id="rId1"/>
    <sheet name="Cash Flow of Project" sheetId="4" r:id="rId2"/>
    <sheet name="NPV Project" sheetId="5" r:id="rId3"/>
    <sheet name="NPV Analysis" sheetId="6" r:id="rId4"/>
    <sheet name="IRR Analysis" sheetId="3" r:id="rId5"/>
    <sheet name="Payback Analysis" sheetId="7" r:id="rId6"/>
    <sheet name="Profitability Index" sheetId="8" r:id="rId7"/>
    <sheet name="Option Pricing" sheetId="12" r:id="rId8"/>
    <sheet name="Option Greeks" sheetId="13" r:id="rId9"/>
    <sheet name="DATA EX1" sheetId="10" r:id="rId10"/>
    <sheet name="DATA EX2" sheetId="11" r:id="rId1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1" l="1"/>
  <c r="C4" i="11" s="1"/>
  <c r="E17" i="12" s="1"/>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C17" i="3"/>
  <c r="E17" i="3" s="1"/>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E14" i="12"/>
  <c r="Q12" i="10"/>
  <c r="R12" i="10"/>
  <c r="S12" i="10"/>
  <c r="T12" i="10"/>
  <c r="U12" i="10"/>
  <c r="V12" i="10"/>
  <c r="W12" i="10"/>
  <c r="X12" i="10"/>
  <c r="Y12" i="10"/>
  <c r="Z12" i="10"/>
  <c r="AA12" i="10"/>
  <c r="Q13" i="10"/>
  <c r="R13" i="10"/>
  <c r="S13" i="10"/>
  <c r="T13" i="10"/>
  <c r="U13" i="10"/>
  <c r="V13" i="10"/>
  <c r="W13" i="10"/>
  <c r="X13" i="10"/>
  <c r="Y13" i="10"/>
  <c r="Z13" i="10"/>
  <c r="AA13" i="10"/>
  <c r="Q14" i="10"/>
  <c r="R14" i="10"/>
  <c r="S14" i="10"/>
  <c r="T14" i="10"/>
  <c r="U14" i="10"/>
  <c r="V14" i="10"/>
  <c r="W14" i="10"/>
  <c r="X14" i="10"/>
  <c r="Y14" i="10"/>
  <c r="Z14" i="10"/>
  <c r="AA14" i="10"/>
  <c r="Q15" i="10"/>
  <c r="R15" i="10"/>
  <c r="S15" i="10"/>
  <c r="T15" i="10"/>
  <c r="U15" i="10"/>
  <c r="V15" i="10"/>
  <c r="W15" i="10"/>
  <c r="X15" i="10"/>
  <c r="Y15" i="10"/>
  <c r="Z15" i="10"/>
  <c r="AA15" i="10"/>
  <c r="Q16" i="10"/>
  <c r="R16" i="10"/>
  <c r="S16" i="10"/>
  <c r="T16" i="10"/>
  <c r="U16" i="10"/>
  <c r="V16" i="10"/>
  <c r="W16" i="10"/>
  <c r="X16" i="10"/>
  <c r="Y16" i="10"/>
  <c r="Z16" i="10"/>
  <c r="AA16" i="10"/>
  <c r="Q17" i="10"/>
  <c r="R17" i="10"/>
  <c r="S17" i="10"/>
  <c r="T17" i="10"/>
  <c r="U17" i="10"/>
  <c r="V17" i="10"/>
  <c r="W17" i="10"/>
  <c r="X17" i="10"/>
  <c r="Y17" i="10"/>
  <c r="Z17" i="10"/>
  <c r="AA17" i="10"/>
  <c r="Q18" i="10"/>
  <c r="R18" i="10"/>
  <c r="S18" i="10"/>
  <c r="T18" i="10"/>
  <c r="U18" i="10"/>
  <c r="V18" i="10"/>
  <c r="W18" i="10"/>
  <c r="X18" i="10"/>
  <c r="Y18" i="10"/>
  <c r="Z18" i="10"/>
  <c r="AA18" i="10"/>
  <c r="Q19" i="10"/>
  <c r="R19" i="10"/>
  <c r="S19" i="10"/>
  <c r="T19" i="10"/>
  <c r="U19" i="10"/>
  <c r="V19" i="10"/>
  <c r="W19" i="10"/>
  <c r="X19" i="10"/>
  <c r="Y19" i="10"/>
  <c r="Z19" i="10"/>
  <c r="AA19" i="10"/>
  <c r="Q20" i="10"/>
  <c r="R20" i="10"/>
  <c r="S20" i="10"/>
  <c r="T20" i="10"/>
  <c r="U20" i="10"/>
  <c r="V20" i="10"/>
  <c r="W20" i="10"/>
  <c r="X20" i="10"/>
  <c r="Y20" i="10"/>
  <c r="Z20" i="10"/>
  <c r="AA20" i="10"/>
  <c r="Q21" i="10"/>
  <c r="R21" i="10"/>
  <c r="S21" i="10"/>
  <c r="T21" i="10"/>
  <c r="U21" i="10"/>
  <c r="V21" i="10"/>
  <c r="W21" i="10"/>
  <c r="X21" i="10"/>
  <c r="Y21" i="10"/>
  <c r="Z21" i="10"/>
  <c r="AA21" i="10"/>
  <c r="Q22" i="10"/>
  <c r="R22" i="10"/>
  <c r="S22" i="10"/>
  <c r="T22" i="10"/>
  <c r="U22" i="10"/>
  <c r="V22" i="10"/>
  <c r="W22" i="10"/>
  <c r="X22" i="10"/>
  <c r="Y22" i="10"/>
  <c r="Z22" i="10"/>
  <c r="AA22" i="10"/>
  <c r="Q23" i="10"/>
  <c r="R23" i="10"/>
  <c r="S23" i="10"/>
  <c r="T23" i="10"/>
  <c r="U23" i="10"/>
  <c r="V23" i="10"/>
  <c r="W23" i="10"/>
  <c r="X23" i="10"/>
  <c r="Y23" i="10"/>
  <c r="Z23" i="10"/>
  <c r="AA23" i="10"/>
  <c r="Q24" i="10"/>
  <c r="R24" i="10"/>
  <c r="S24" i="10"/>
  <c r="T24" i="10"/>
  <c r="U24" i="10"/>
  <c r="V24" i="10"/>
  <c r="W24" i="10"/>
  <c r="X24" i="10"/>
  <c r="Y24" i="10"/>
  <c r="Z24" i="10"/>
  <c r="AA24" i="10"/>
  <c r="Q25" i="10"/>
  <c r="R25" i="10"/>
  <c r="S25" i="10"/>
  <c r="T25" i="10"/>
  <c r="U25" i="10"/>
  <c r="V25" i="10"/>
  <c r="W25" i="10"/>
  <c r="X25" i="10"/>
  <c r="Y25" i="10"/>
  <c r="Z25" i="10"/>
  <c r="AA25" i="10"/>
  <c r="Q26" i="10"/>
  <c r="R26" i="10"/>
  <c r="S26" i="10"/>
  <c r="T26" i="10"/>
  <c r="U26" i="10"/>
  <c r="V26" i="10"/>
  <c r="W26" i="10"/>
  <c r="X26" i="10"/>
  <c r="Y26" i="10"/>
  <c r="Z26" i="10"/>
  <c r="AA26" i="10"/>
  <c r="Q27" i="10"/>
  <c r="R27" i="10"/>
  <c r="S27" i="10"/>
  <c r="T27" i="10"/>
  <c r="U27" i="10"/>
  <c r="V27" i="10"/>
  <c r="W27" i="10"/>
  <c r="X27" i="10"/>
  <c r="Y27" i="10"/>
  <c r="Z27" i="10"/>
  <c r="AA27" i="10"/>
  <c r="Q28" i="10"/>
  <c r="R28" i="10"/>
  <c r="S28" i="10"/>
  <c r="T28" i="10"/>
  <c r="U28" i="10"/>
  <c r="V28" i="10"/>
  <c r="W28" i="10"/>
  <c r="X28" i="10"/>
  <c r="Y28" i="10"/>
  <c r="Z28" i="10"/>
  <c r="AA28" i="10"/>
  <c r="Q29" i="10"/>
  <c r="R29" i="10"/>
  <c r="S29" i="10"/>
  <c r="T29" i="10"/>
  <c r="U29" i="10"/>
  <c r="V29" i="10"/>
  <c r="W29" i="10"/>
  <c r="X29" i="10"/>
  <c r="Y29" i="10"/>
  <c r="Z29" i="10"/>
  <c r="AA29" i="10"/>
  <c r="Q30" i="10"/>
  <c r="R30" i="10"/>
  <c r="S30" i="10"/>
  <c r="T30" i="10"/>
  <c r="U30" i="10"/>
  <c r="V30" i="10"/>
  <c r="W30" i="10"/>
  <c r="X30" i="10"/>
  <c r="Y30" i="10"/>
  <c r="Z30" i="10"/>
  <c r="AA30" i="10"/>
  <c r="Q31" i="10"/>
  <c r="R31" i="10"/>
  <c r="S31" i="10"/>
  <c r="T31" i="10"/>
  <c r="U31" i="10"/>
  <c r="V31" i="10"/>
  <c r="W31" i="10"/>
  <c r="X31" i="10"/>
  <c r="Y31" i="10"/>
  <c r="Z31" i="10"/>
  <c r="AA31" i="10"/>
  <c r="Q32" i="10"/>
  <c r="R32" i="10"/>
  <c r="S32" i="10"/>
  <c r="T32" i="10"/>
  <c r="U32" i="10"/>
  <c r="V32" i="10"/>
  <c r="W32" i="10"/>
  <c r="X32" i="10"/>
  <c r="Y32" i="10"/>
  <c r="Z32" i="10"/>
  <c r="AA32" i="10"/>
  <c r="Q33" i="10"/>
  <c r="R33" i="10"/>
  <c r="S33" i="10"/>
  <c r="T33" i="10"/>
  <c r="U33" i="10"/>
  <c r="V33" i="10"/>
  <c r="W33" i="10"/>
  <c r="X33" i="10"/>
  <c r="Y33" i="10"/>
  <c r="Z33" i="10"/>
  <c r="AA33" i="10"/>
  <c r="Q34" i="10"/>
  <c r="R34" i="10"/>
  <c r="S34" i="10"/>
  <c r="T34" i="10"/>
  <c r="U34" i="10"/>
  <c r="V34" i="10"/>
  <c r="W34" i="10"/>
  <c r="X34" i="10"/>
  <c r="Y34" i="10"/>
  <c r="Z34" i="10"/>
  <c r="AA34" i="10"/>
  <c r="Q35" i="10"/>
  <c r="R35" i="10"/>
  <c r="S35" i="10"/>
  <c r="T35" i="10"/>
  <c r="U35" i="10"/>
  <c r="V35" i="10"/>
  <c r="W35" i="10"/>
  <c r="X35" i="10"/>
  <c r="Y35" i="10"/>
  <c r="Z35" i="10"/>
  <c r="AA35" i="10"/>
  <c r="Q36" i="10"/>
  <c r="R36" i="10"/>
  <c r="S36" i="10"/>
  <c r="T36" i="10"/>
  <c r="U36" i="10"/>
  <c r="V36" i="10"/>
  <c r="W36" i="10"/>
  <c r="X36" i="10"/>
  <c r="Y36" i="10"/>
  <c r="Z36" i="10"/>
  <c r="AA36" i="10"/>
  <c r="Q37" i="10"/>
  <c r="R37" i="10"/>
  <c r="S37" i="10"/>
  <c r="T37" i="10"/>
  <c r="U37" i="10"/>
  <c r="V37" i="10"/>
  <c r="W37" i="10"/>
  <c r="X37" i="10"/>
  <c r="Y37" i="10"/>
  <c r="Z37" i="10"/>
  <c r="AA37" i="10"/>
  <c r="AD14" i="10"/>
  <c r="AD15" i="10"/>
  <c r="AD16" i="10"/>
  <c r="AD17" i="10"/>
  <c r="AD18" i="10"/>
  <c r="AD19" i="10"/>
  <c r="AD20" i="10"/>
  <c r="K9" i="5"/>
  <c r="L10" i="5"/>
  <c r="M10" i="5"/>
  <c r="G11" i="5"/>
  <c r="E12" i="5"/>
  <c r="L12" i="5"/>
  <c r="M12" i="5"/>
  <c r="K13" i="5"/>
  <c r="I14" i="5"/>
  <c r="G15" i="5"/>
  <c r="D16" i="5"/>
  <c r="I17" i="5"/>
  <c r="J17" i="5"/>
  <c r="K17" i="5"/>
  <c r="L17" i="5"/>
  <c r="M17" i="5"/>
  <c r="D18" i="5"/>
  <c r="E18" i="5"/>
  <c r="F18" i="5"/>
  <c r="G18" i="5"/>
  <c r="H18" i="5"/>
  <c r="I18" i="5"/>
  <c r="J18" i="5"/>
  <c r="K18" i="5"/>
  <c r="L18" i="5"/>
  <c r="M18" i="5"/>
  <c r="D19" i="5"/>
  <c r="E19" i="5"/>
  <c r="F19" i="5"/>
  <c r="G19" i="5"/>
  <c r="H19" i="5"/>
  <c r="I19" i="5"/>
  <c r="J19" i="5"/>
  <c r="K19" i="5"/>
  <c r="L19" i="5"/>
  <c r="M19" i="5"/>
  <c r="D20" i="5"/>
  <c r="E20" i="5"/>
  <c r="F20" i="5"/>
  <c r="G20" i="5"/>
  <c r="H20" i="5"/>
  <c r="I20" i="5"/>
  <c r="J20" i="5"/>
  <c r="K20" i="5"/>
  <c r="L20" i="5"/>
  <c r="M20" i="5"/>
  <c r="D21" i="5"/>
  <c r="E21" i="5"/>
  <c r="F21" i="5"/>
  <c r="G21" i="5"/>
  <c r="H21" i="5"/>
  <c r="I21" i="5"/>
  <c r="J21" i="5"/>
  <c r="K21" i="5"/>
  <c r="L21" i="5"/>
  <c r="M21" i="5"/>
  <c r="D22" i="5"/>
  <c r="E22" i="5"/>
  <c r="F22" i="5"/>
  <c r="G22" i="5"/>
  <c r="H22" i="5"/>
  <c r="I22" i="5"/>
  <c r="J22" i="5"/>
  <c r="K22" i="5"/>
  <c r="L22" i="5"/>
  <c r="M22" i="5"/>
  <c r="D23" i="5"/>
  <c r="E23" i="5"/>
  <c r="F23" i="5"/>
  <c r="G23" i="5"/>
  <c r="H23" i="5"/>
  <c r="I23" i="5"/>
  <c r="J23" i="5"/>
  <c r="K23" i="5"/>
  <c r="L23" i="5"/>
  <c r="M23" i="5"/>
  <c r="D24" i="5"/>
  <c r="E24" i="5"/>
  <c r="F24" i="5"/>
  <c r="G24" i="5"/>
  <c r="H24" i="5"/>
  <c r="I24" i="5"/>
  <c r="J24" i="5"/>
  <c r="K24" i="5"/>
  <c r="L24" i="5"/>
  <c r="M24" i="5"/>
  <c r="D25" i="5"/>
  <c r="E25" i="5"/>
  <c r="F25" i="5"/>
  <c r="G25" i="5"/>
  <c r="H25" i="5"/>
  <c r="I25" i="5"/>
  <c r="J25" i="5"/>
  <c r="K25" i="5"/>
  <c r="L25" i="5"/>
  <c r="M25" i="5"/>
  <c r="D26" i="5"/>
  <c r="E26" i="5"/>
  <c r="F26" i="5"/>
  <c r="G26" i="5"/>
  <c r="H26" i="5"/>
  <c r="I26" i="5"/>
  <c r="J26" i="5"/>
  <c r="K26" i="5"/>
  <c r="L26" i="5"/>
  <c r="M26" i="5"/>
  <c r="D27" i="5"/>
  <c r="E27" i="5"/>
  <c r="F27" i="5"/>
  <c r="G27" i="5"/>
  <c r="H27" i="5"/>
  <c r="I27" i="5"/>
  <c r="J27" i="5"/>
  <c r="K27" i="5"/>
  <c r="L27" i="5"/>
  <c r="M27" i="5"/>
  <c r="D28" i="5"/>
  <c r="E28" i="5"/>
  <c r="F28" i="5"/>
  <c r="G28" i="5"/>
  <c r="H28" i="5"/>
  <c r="I28" i="5"/>
  <c r="J28" i="5"/>
  <c r="K28" i="5"/>
  <c r="L28" i="5"/>
  <c r="M28" i="5"/>
  <c r="D29" i="5"/>
  <c r="E29" i="5"/>
  <c r="F29" i="5"/>
  <c r="G29" i="5"/>
  <c r="H29" i="5"/>
  <c r="I29" i="5"/>
  <c r="J29" i="5"/>
  <c r="K29" i="5"/>
  <c r="L29" i="5"/>
  <c r="M29" i="5"/>
  <c r="D30" i="5"/>
  <c r="E30" i="5"/>
  <c r="F30" i="5"/>
  <c r="G30" i="5"/>
  <c r="H30" i="5"/>
  <c r="I30" i="5"/>
  <c r="J30" i="5"/>
  <c r="K30" i="5"/>
  <c r="L30" i="5"/>
  <c r="M30" i="5"/>
  <c r="D31" i="5"/>
  <c r="E31" i="5"/>
  <c r="F31" i="5"/>
  <c r="G31" i="5"/>
  <c r="H31" i="5"/>
  <c r="I31" i="5"/>
  <c r="J31" i="5"/>
  <c r="K31" i="5"/>
  <c r="L31" i="5"/>
  <c r="M31" i="5"/>
  <c r="D32" i="5"/>
  <c r="E32" i="5"/>
  <c r="F32" i="5"/>
  <c r="G32" i="5"/>
  <c r="H32" i="5"/>
  <c r="I32" i="5"/>
  <c r="J32" i="5"/>
  <c r="K32" i="5"/>
  <c r="L32" i="5"/>
  <c r="M32" i="5"/>
  <c r="D33" i="5"/>
  <c r="E33" i="5"/>
  <c r="F33" i="5"/>
  <c r="G33" i="5"/>
  <c r="H33" i="5"/>
  <c r="I33" i="5"/>
  <c r="J33" i="5"/>
  <c r="K33" i="5"/>
  <c r="L33" i="5"/>
  <c r="M33" i="5"/>
  <c r="D34" i="5"/>
  <c r="E34" i="5"/>
  <c r="F34" i="5"/>
  <c r="G34" i="5"/>
  <c r="H34" i="5"/>
  <c r="I34" i="5"/>
  <c r="J34" i="5"/>
  <c r="K34" i="5"/>
  <c r="L34" i="5"/>
  <c r="M34" i="5"/>
  <c r="D35" i="5"/>
  <c r="E35" i="5"/>
  <c r="F35" i="5"/>
  <c r="G35" i="5"/>
  <c r="H35" i="5"/>
  <c r="I35" i="5"/>
  <c r="J35" i="5"/>
  <c r="K35" i="5"/>
  <c r="L35" i="5"/>
  <c r="M35" i="5"/>
  <c r="D36" i="5"/>
  <c r="E36" i="5"/>
  <c r="F36" i="5"/>
  <c r="G36" i="5"/>
  <c r="H36" i="5"/>
  <c r="I36" i="5"/>
  <c r="J36" i="5"/>
  <c r="K36" i="5"/>
  <c r="L36" i="5"/>
  <c r="M36" i="5"/>
  <c r="D37" i="5"/>
  <c r="E37" i="5"/>
  <c r="F37" i="5"/>
  <c r="G37" i="5"/>
  <c r="H37" i="5"/>
  <c r="I37" i="5"/>
  <c r="J37" i="5"/>
  <c r="K37" i="5"/>
  <c r="L37" i="5"/>
  <c r="M37" i="5"/>
  <c r="D38" i="5"/>
  <c r="E38" i="5"/>
  <c r="F38" i="5"/>
  <c r="G38" i="5"/>
  <c r="H38" i="5"/>
  <c r="I38" i="5"/>
  <c r="J38" i="5"/>
  <c r="K38" i="5"/>
  <c r="L38" i="5"/>
  <c r="M38" i="5"/>
  <c r="D39" i="5"/>
  <c r="E39" i="5"/>
  <c r="F39" i="5"/>
  <c r="G39" i="5"/>
  <c r="H39" i="5"/>
  <c r="I39" i="5"/>
  <c r="J39" i="5"/>
  <c r="K39" i="5"/>
  <c r="L39" i="5"/>
  <c r="M39" i="5"/>
  <c r="D40" i="5"/>
  <c r="E40" i="5"/>
  <c r="F40" i="5"/>
  <c r="G40" i="5"/>
  <c r="H40" i="5"/>
  <c r="I40" i="5"/>
  <c r="J40" i="5"/>
  <c r="K40" i="5"/>
  <c r="L40" i="5"/>
  <c r="M40" i="5"/>
  <c r="D41" i="5"/>
  <c r="E41" i="5"/>
  <c r="F41" i="5"/>
  <c r="G41" i="5"/>
  <c r="H41" i="5"/>
  <c r="I41" i="5"/>
  <c r="J41" i="5"/>
  <c r="K41" i="5"/>
  <c r="L41" i="5"/>
  <c r="M41" i="5"/>
  <c r="D42" i="5"/>
  <c r="E42" i="5"/>
  <c r="F42" i="5"/>
  <c r="G42" i="5"/>
  <c r="H42" i="5"/>
  <c r="I42" i="5"/>
  <c r="J42" i="5"/>
  <c r="K42" i="5"/>
  <c r="L42" i="5"/>
  <c r="M42" i="5"/>
  <c r="D43" i="5"/>
  <c r="E43" i="5"/>
  <c r="F43" i="5"/>
  <c r="G43" i="5"/>
  <c r="H43" i="5"/>
  <c r="I43" i="5"/>
  <c r="J43" i="5"/>
  <c r="K43" i="5"/>
  <c r="L43" i="5"/>
  <c r="M43" i="5"/>
  <c r="D44" i="5"/>
  <c r="E44" i="5"/>
  <c r="F44" i="5"/>
  <c r="G44" i="5"/>
  <c r="H44" i="5"/>
  <c r="I44" i="5"/>
  <c r="J44" i="5"/>
  <c r="K44" i="5"/>
  <c r="L44" i="5"/>
  <c r="M44" i="5"/>
  <c r="D45" i="5"/>
  <c r="E45" i="5"/>
  <c r="F45" i="5"/>
  <c r="G45" i="5"/>
  <c r="H45" i="5"/>
  <c r="I45" i="5"/>
  <c r="J45" i="5"/>
  <c r="K45" i="5"/>
  <c r="L45" i="5"/>
  <c r="M45" i="5"/>
  <c r="D46" i="5"/>
  <c r="E46" i="5"/>
  <c r="F46" i="5"/>
  <c r="G46" i="5"/>
  <c r="H46" i="5"/>
  <c r="I46" i="5"/>
  <c r="J46" i="5"/>
  <c r="K46" i="5"/>
  <c r="L46" i="5"/>
  <c r="M46" i="5"/>
  <c r="D47" i="5"/>
  <c r="E47" i="5"/>
  <c r="F47" i="5"/>
  <c r="G47" i="5"/>
  <c r="H47" i="5"/>
  <c r="I47" i="5"/>
  <c r="J47" i="5"/>
  <c r="K47" i="5"/>
  <c r="L47" i="5"/>
  <c r="M47" i="5"/>
  <c r="D48" i="5"/>
  <c r="E48" i="5"/>
  <c r="F48" i="5"/>
  <c r="G48" i="5"/>
  <c r="H48" i="5"/>
  <c r="I48" i="5"/>
  <c r="J48" i="5"/>
  <c r="K48" i="5"/>
  <c r="L48" i="5"/>
  <c r="M48" i="5"/>
  <c r="D49" i="5"/>
  <c r="E49" i="5"/>
  <c r="F49" i="5"/>
  <c r="G49" i="5"/>
  <c r="H49" i="5"/>
  <c r="I49" i="5"/>
  <c r="J49" i="5"/>
  <c r="K49" i="5"/>
  <c r="L49" i="5"/>
  <c r="M49" i="5"/>
  <c r="D50" i="5"/>
  <c r="E50" i="5"/>
  <c r="F50" i="5"/>
  <c r="G50" i="5"/>
  <c r="H50" i="5"/>
  <c r="I50" i="5"/>
  <c r="J50" i="5"/>
  <c r="K50" i="5"/>
  <c r="L50" i="5"/>
  <c r="M50" i="5"/>
  <c r="D51" i="5"/>
  <c r="E51" i="5"/>
  <c r="F51" i="5"/>
  <c r="G51" i="5"/>
  <c r="H51" i="5"/>
  <c r="I51" i="5"/>
  <c r="J51" i="5"/>
  <c r="K51" i="5"/>
  <c r="L51" i="5"/>
  <c r="M51" i="5"/>
  <c r="D52" i="5"/>
  <c r="E52" i="5"/>
  <c r="F52" i="5"/>
  <c r="G52" i="5"/>
  <c r="H52" i="5"/>
  <c r="I52" i="5"/>
  <c r="J52" i="5"/>
  <c r="K52" i="5"/>
  <c r="L52" i="5"/>
  <c r="M52" i="5"/>
  <c r="D53" i="5"/>
  <c r="E53" i="5"/>
  <c r="F53" i="5"/>
  <c r="G53" i="5"/>
  <c r="H53" i="5"/>
  <c r="I53" i="5"/>
  <c r="J53" i="5"/>
  <c r="K53" i="5"/>
  <c r="L53" i="5"/>
  <c r="M53" i="5"/>
  <c r="D54" i="5"/>
  <c r="E54" i="5"/>
  <c r="F54" i="5"/>
  <c r="G54" i="5"/>
  <c r="H54" i="5"/>
  <c r="I54" i="5"/>
  <c r="J54" i="5"/>
  <c r="K54" i="5"/>
  <c r="L54" i="5"/>
  <c r="M54" i="5"/>
  <c r="D55" i="5"/>
  <c r="E55" i="5"/>
  <c r="F55" i="5"/>
  <c r="G55" i="5"/>
  <c r="H55" i="5"/>
  <c r="I55" i="5"/>
  <c r="J55" i="5"/>
  <c r="K55" i="5"/>
  <c r="L55" i="5"/>
  <c r="M55" i="5"/>
  <c r="D56" i="5"/>
  <c r="E56" i="5"/>
  <c r="F56" i="5"/>
  <c r="G56" i="5"/>
  <c r="H56" i="5"/>
  <c r="I56" i="5"/>
  <c r="J56" i="5"/>
  <c r="K56" i="5"/>
  <c r="L56" i="5"/>
  <c r="M56" i="5"/>
  <c r="D57" i="5"/>
  <c r="E57" i="5"/>
  <c r="F57" i="5"/>
  <c r="G57" i="5"/>
  <c r="H57" i="5"/>
  <c r="I57" i="5"/>
  <c r="J57" i="5"/>
  <c r="K57" i="5"/>
  <c r="L57" i="5"/>
  <c r="M57" i="5"/>
  <c r="D58" i="5"/>
  <c r="E58" i="5"/>
  <c r="F58" i="5"/>
  <c r="G58" i="5"/>
  <c r="H58" i="5"/>
  <c r="I58" i="5"/>
  <c r="J58" i="5"/>
  <c r="K58" i="5"/>
  <c r="L58" i="5"/>
  <c r="M58" i="5"/>
  <c r="D59" i="5"/>
  <c r="E59" i="5"/>
  <c r="F59" i="5"/>
  <c r="G59" i="5"/>
  <c r="H59" i="5"/>
  <c r="I59" i="5"/>
  <c r="J59" i="5"/>
  <c r="K59" i="5"/>
  <c r="L59" i="5"/>
  <c r="M59" i="5"/>
  <c r="D60" i="5"/>
  <c r="E60" i="5"/>
  <c r="F60" i="5"/>
  <c r="G60" i="5"/>
  <c r="H60" i="5"/>
  <c r="I60" i="5"/>
  <c r="J60" i="5"/>
  <c r="K60" i="5"/>
  <c r="L60" i="5"/>
  <c r="M60" i="5"/>
  <c r="D61" i="5"/>
  <c r="E61" i="5"/>
  <c r="F61" i="5"/>
  <c r="G61" i="5"/>
  <c r="H61" i="5"/>
  <c r="I61" i="5"/>
  <c r="J61" i="5"/>
  <c r="K61" i="5"/>
  <c r="L61" i="5"/>
  <c r="M61" i="5"/>
  <c r="D62" i="5"/>
  <c r="E62" i="5"/>
  <c r="F62" i="5"/>
  <c r="G62" i="5"/>
  <c r="H62" i="5"/>
  <c r="I62" i="5"/>
  <c r="J62" i="5"/>
  <c r="K62" i="5"/>
  <c r="L62" i="5"/>
  <c r="M62" i="5"/>
  <c r="D63" i="5"/>
  <c r="E63" i="5"/>
  <c r="F63" i="5"/>
  <c r="G63" i="5"/>
  <c r="H63" i="5"/>
  <c r="I63" i="5"/>
  <c r="J63" i="5"/>
  <c r="K63" i="5"/>
  <c r="L63" i="5"/>
  <c r="M63" i="5"/>
  <c r="D64" i="5"/>
  <c r="E64" i="5"/>
  <c r="F64" i="5"/>
  <c r="G64" i="5"/>
  <c r="H64" i="5"/>
  <c r="I64" i="5"/>
  <c r="J64" i="5"/>
  <c r="K64" i="5"/>
  <c r="L64" i="5"/>
  <c r="M64" i="5"/>
  <c r="D65" i="5"/>
  <c r="E65" i="5"/>
  <c r="F65" i="5"/>
  <c r="G65" i="5"/>
  <c r="H65" i="5"/>
  <c r="I65" i="5"/>
  <c r="J65" i="5"/>
  <c r="K65" i="5"/>
  <c r="L65" i="5"/>
  <c r="M65" i="5"/>
  <c r="D66" i="5"/>
  <c r="E66" i="5"/>
  <c r="F66" i="5"/>
  <c r="G66" i="5"/>
  <c r="H66" i="5"/>
  <c r="I66" i="5"/>
  <c r="J66" i="5"/>
  <c r="K66" i="5"/>
  <c r="L66" i="5"/>
  <c r="M66" i="5"/>
  <c r="D67" i="5"/>
  <c r="E67" i="5"/>
  <c r="F67" i="5"/>
  <c r="G67" i="5"/>
  <c r="H67" i="5"/>
  <c r="I67" i="5"/>
  <c r="J67" i="5"/>
  <c r="K67" i="5"/>
  <c r="L67" i="5"/>
  <c r="M67" i="5"/>
  <c r="D68" i="5"/>
  <c r="E68" i="5"/>
  <c r="F68" i="5"/>
  <c r="G68" i="5"/>
  <c r="H68" i="5"/>
  <c r="I68" i="5"/>
  <c r="J68" i="5"/>
  <c r="K68" i="5"/>
  <c r="L68" i="5"/>
  <c r="M68" i="5"/>
  <c r="D69" i="5"/>
  <c r="E69" i="5"/>
  <c r="F69" i="5"/>
  <c r="G69" i="5"/>
  <c r="H69" i="5"/>
  <c r="I69" i="5"/>
  <c r="J69" i="5"/>
  <c r="K69" i="5"/>
  <c r="L69" i="5"/>
  <c r="M69" i="5"/>
  <c r="D70" i="5"/>
  <c r="E70" i="5"/>
  <c r="F70" i="5"/>
  <c r="G70" i="5"/>
  <c r="H70" i="5"/>
  <c r="I70" i="5"/>
  <c r="J70" i="5"/>
  <c r="K70" i="5"/>
  <c r="L70" i="5"/>
  <c r="M70" i="5"/>
  <c r="D71" i="5"/>
  <c r="E71" i="5"/>
  <c r="F71" i="5"/>
  <c r="G71" i="5"/>
  <c r="H71" i="5"/>
  <c r="I71" i="5"/>
  <c r="J71" i="5"/>
  <c r="K71" i="5"/>
  <c r="L71" i="5"/>
  <c r="M71" i="5"/>
  <c r="D72" i="5"/>
  <c r="E72" i="5"/>
  <c r="F72" i="5"/>
  <c r="G72" i="5"/>
  <c r="H72" i="5"/>
  <c r="I72" i="5"/>
  <c r="J72" i="5"/>
  <c r="K72" i="5"/>
  <c r="L72" i="5"/>
  <c r="M72" i="5"/>
  <c r="D73" i="5"/>
  <c r="E73" i="5"/>
  <c r="F73" i="5"/>
  <c r="G73" i="5"/>
  <c r="H73" i="5"/>
  <c r="I73" i="5"/>
  <c r="J73" i="5"/>
  <c r="K73" i="5"/>
  <c r="L73" i="5"/>
  <c r="M73" i="5"/>
  <c r="D74" i="5"/>
  <c r="E74" i="5"/>
  <c r="F74" i="5"/>
  <c r="G74" i="5"/>
  <c r="H74" i="5"/>
  <c r="I74" i="5"/>
  <c r="J74" i="5"/>
  <c r="K74" i="5"/>
  <c r="L74" i="5"/>
  <c r="M74" i="5"/>
  <c r="D75" i="5"/>
  <c r="E75" i="5"/>
  <c r="F75" i="5"/>
  <c r="G75" i="5"/>
  <c r="H75" i="5"/>
  <c r="I75" i="5"/>
  <c r="J75" i="5"/>
  <c r="K75" i="5"/>
  <c r="L75" i="5"/>
  <c r="M75" i="5"/>
  <c r="D76" i="5"/>
  <c r="E76" i="5"/>
  <c r="F76" i="5"/>
  <c r="G76" i="5"/>
  <c r="H76" i="5"/>
  <c r="I76" i="5"/>
  <c r="J76" i="5"/>
  <c r="K76" i="5"/>
  <c r="L76" i="5"/>
  <c r="M76" i="5"/>
  <c r="D77" i="5"/>
  <c r="E77" i="5"/>
  <c r="F77" i="5"/>
  <c r="G77" i="5"/>
  <c r="H77" i="5"/>
  <c r="I77" i="5"/>
  <c r="J77" i="5"/>
  <c r="K77" i="5"/>
  <c r="L77" i="5"/>
  <c r="M77" i="5"/>
  <c r="D78" i="5"/>
  <c r="E78" i="5"/>
  <c r="F78" i="5"/>
  <c r="G78" i="5"/>
  <c r="H78" i="5"/>
  <c r="I78" i="5"/>
  <c r="J78" i="5"/>
  <c r="K78" i="5"/>
  <c r="L78" i="5"/>
  <c r="M78" i="5"/>
  <c r="D79" i="5"/>
  <c r="E79" i="5"/>
  <c r="F79" i="5"/>
  <c r="G79" i="5"/>
  <c r="H79" i="5"/>
  <c r="I79" i="5"/>
  <c r="J79" i="5"/>
  <c r="K79" i="5"/>
  <c r="L79" i="5"/>
  <c r="M79" i="5"/>
  <c r="D80" i="5"/>
  <c r="E80" i="5"/>
  <c r="F80" i="5"/>
  <c r="G80" i="5"/>
  <c r="H80" i="5"/>
  <c r="I80" i="5"/>
  <c r="J80" i="5"/>
  <c r="K80" i="5"/>
  <c r="L80" i="5"/>
  <c r="M80" i="5"/>
  <c r="D81" i="5"/>
  <c r="E81" i="5"/>
  <c r="F81" i="5"/>
  <c r="G81" i="5"/>
  <c r="H81" i="5"/>
  <c r="I81" i="5"/>
  <c r="J81" i="5"/>
  <c r="K81" i="5"/>
  <c r="L81" i="5"/>
  <c r="M81" i="5"/>
  <c r="D82" i="5"/>
  <c r="E82" i="5"/>
  <c r="F82" i="5"/>
  <c r="G82" i="5"/>
  <c r="H82" i="5"/>
  <c r="I82" i="5"/>
  <c r="J82" i="5"/>
  <c r="K82" i="5"/>
  <c r="L82" i="5"/>
  <c r="M82" i="5"/>
  <c r="D83" i="5"/>
  <c r="E83" i="5"/>
  <c r="F83" i="5"/>
  <c r="G83" i="5"/>
  <c r="H83" i="5"/>
  <c r="I83" i="5"/>
  <c r="J83" i="5"/>
  <c r="K83" i="5"/>
  <c r="L83" i="5"/>
  <c r="M83" i="5"/>
  <c r="D84" i="5"/>
  <c r="E84" i="5"/>
  <c r="F84" i="5"/>
  <c r="G84" i="5"/>
  <c r="H84" i="5"/>
  <c r="I84" i="5"/>
  <c r="J84" i="5"/>
  <c r="K84" i="5"/>
  <c r="L84" i="5"/>
  <c r="M84" i="5"/>
  <c r="D85" i="5"/>
  <c r="E85" i="5"/>
  <c r="F85" i="5"/>
  <c r="G85" i="5"/>
  <c r="H85" i="5"/>
  <c r="I85" i="5"/>
  <c r="J85" i="5"/>
  <c r="K85" i="5"/>
  <c r="L85" i="5"/>
  <c r="M85" i="5"/>
  <c r="D86" i="5"/>
  <c r="E86" i="5"/>
  <c r="F86" i="5"/>
  <c r="G86" i="5"/>
  <c r="H86" i="5"/>
  <c r="I86" i="5"/>
  <c r="J86" i="5"/>
  <c r="K86" i="5"/>
  <c r="L86" i="5"/>
  <c r="M86" i="5"/>
  <c r="D87" i="5"/>
  <c r="E87" i="5"/>
  <c r="F87" i="5"/>
  <c r="G87" i="5"/>
  <c r="H87" i="5"/>
  <c r="I87" i="5"/>
  <c r="J87" i="5"/>
  <c r="K87" i="5"/>
  <c r="L87" i="5"/>
  <c r="M87" i="5"/>
  <c r="D88" i="5"/>
  <c r="E88" i="5"/>
  <c r="F88" i="5"/>
  <c r="G88" i="5"/>
  <c r="H88" i="5"/>
  <c r="I88" i="5"/>
  <c r="J88" i="5"/>
  <c r="K88" i="5"/>
  <c r="L88" i="5"/>
  <c r="M88" i="5"/>
  <c r="D89" i="5"/>
  <c r="E89" i="5"/>
  <c r="F89" i="5"/>
  <c r="G89" i="5"/>
  <c r="H89" i="5"/>
  <c r="I89" i="5"/>
  <c r="J89" i="5"/>
  <c r="K89" i="5"/>
  <c r="L89" i="5"/>
  <c r="M89" i="5"/>
  <c r="D90" i="5"/>
  <c r="E90" i="5"/>
  <c r="F90" i="5"/>
  <c r="G90" i="5"/>
  <c r="H90" i="5"/>
  <c r="I90" i="5"/>
  <c r="J90" i="5"/>
  <c r="K90" i="5"/>
  <c r="L90" i="5"/>
  <c r="M90" i="5"/>
  <c r="D91" i="5"/>
  <c r="E91" i="5"/>
  <c r="F91" i="5"/>
  <c r="G91" i="5"/>
  <c r="H91" i="5"/>
  <c r="I91" i="5"/>
  <c r="J91" i="5"/>
  <c r="K91" i="5"/>
  <c r="L91" i="5"/>
  <c r="M91" i="5"/>
  <c r="D92" i="5"/>
  <c r="E92" i="5"/>
  <c r="F92" i="5"/>
  <c r="G92" i="5"/>
  <c r="H92" i="5"/>
  <c r="I92" i="5"/>
  <c r="J92" i="5"/>
  <c r="K92" i="5"/>
  <c r="L92" i="5"/>
  <c r="M92" i="5"/>
  <c r="D93" i="5"/>
  <c r="E93" i="5"/>
  <c r="F93" i="5"/>
  <c r="G93" i="5"/>
  <c r="H93" i="5"/>
  <c r="I93" i="5"/>
  <c r="J93" i="5"/>
  <c r="K93" i="5"/>
  <c r="L93" i="5"/>
  <c r="M93" i="5"/>
  <c r="D94" i="5"/>
  <c r="E94" i="5"/>
  <c r="F94" i="5"/>
  <c r="G94" i="5"/>
  <c r="H94" i="5"/>
  <c r="I94" i="5"/>
  <c r="J94" i="5"/>
  <c r="K94" i="5"/>
  <c r="L94" i="5"/>
  <c r="M94" i="5"/>
  <c r="D95" i="5"/>
  <c r="E95" i="5"/>
  <c r="F95" i="5"/>
  <c r="G95" i="5"/>
  <c r="H95" i="5"/>
  <c r="I95" i="5"/>
  <c r="J95" i="5"/>
  <c r="K95" i="5"/>
  <c r="L95" i="5"/>
  <c r="M95" i="5"/>
  <c r="D96" i="5"/>
  <c r="E96" i="5"/>
  <c r="F96" i="5"/>
  <c r="G96" i="5"/>
  <c r="H96" i="5"/>
  <c r="I96" i="5"/>
  <c r="J96" i="5"/>
  <c r="K96" i="5"/>
  <c r="L96" i="5"/>
  <c r="M96" i="5"/>
  <c r="D97" i="5"/>
  <c r="E97" i="5"/>
  <c r="F97" i="5"/>
  <c r="G97" i="5"/>
  <c r="H97" i="5"/>
  <c r="I97" i="5"/>
  <c r="J97" i="5"/>
  <c r="K97" i="5"/>
  <c r="L97" i="5"/>
  <c r="M97" i="5"/>
  <c r="D98" i="5"/>
  <c r="E98" i="5"/>
  <c r="F98" i="5"/>
  <c r="G98" i="5"/>
  <c r="H98" i="5"/>
  <c r="I98" i="5"/>
  <c r="J98" i="5"/>
  <c r="K98" i="5"/>
  <c r="L98" i="5"/>
  <c r="M98" i="5"/>
  <c r="D99" i="5"/>
  <c r="E99" i="5"/>
  <c r="F99" i="5"/>
  <c r="G99" i="5"/>
  <c r="H99" i="5"/>
  <c r="I99" i="5"/>
  <c r="J99" i="5"/>
  <c r="K99" i="5"/>
  <c r="L99" i="5"/>
  <c r="M99" i="5"/>
  <c r="D100" i="5"/>
  <c r="E100" i="5"/>
  <c r="F100" i="5"/>
  <c r="G100" i="5"/>
  <c r="H100" i="5"/>
  <c r="I100" i="5"/>
  <c r="J100" i="5"/>
  <c r="K100" i="5"/>
  <c r="L100" i="5"/>
  <c r="M100" i="5"/>
  <c r="D101" i="5"/>
  <c r="E101" i="5"/>
  <c r="F101" i="5"/>
  <c r="G101" i="5"/>
  <c r="H101" i="5"/>
  <c r="I101" i="5"/>
  <c r="J101" i="5"/>
  <c r="K101" i="5"/>
  <c r="L101" i="5"/>
  <c r="M101" i="5"/>
  <c r="D102" i="5"/>
  <c r="E102" i="5"/>
  <c r="F102" i="5"/>
  <c r="G102" i="5"/>
  <c r="H102" i="5"/>
  <c r="I102" i="5"/>
  <c r="J102" i="5"/>
  <c r="K102" i="5"/>
  <c r="L102" i="5"/>
  <c r="M102" i="5"/>
  <c r="D103" i="5"/>
  <c r="E103" i="5"/>
  <c r="F103" i="5"/>
  <c r="G103" i="5"/>
  <c r="H103" i="5"/>
  <c r="I103" i="5"/>
  <c r="J103" i="5"/>
  <c r="K103" i="5"/>
  <c r="L103" i="5"/>
  <c r="M103" i="5"/>
  <c r="D104" i="5"/>
  <c r="E104" i="5"/>
  <c r="F104" i="5"/>
  <c r="G104" i="5"/>
  <c r="H104" i="5"/>
  <c r="I104" i="5"/>
  <c r="J104" i="5"/>
  <c r="K104" i="5"/>
  <c r="L104" i="5"/>
  <c r="M104" i="5"/>
  <c r="D105" i="5"/>
  <c r="E105" i="5"/>
  <c r="F105" i="5"/>
  <c r="G105" i="5"/>
  <c r="H105" i="5"/>
  <c r="I105" i="5"/>
  <c r="J105" i="5"/>
  <c r="K105" i="5"/>
  <c r="L105" i="5"/>
  <c r="M105" i="5"/>
  <c r="D106" i="5"/>
  <c r="E106" i="5"/>
  <c r="F106" i="5"/>
  <c r="G106" i="5"/>
  <c r="H106" i="5"/>
  <c r="I106" i="5"/>
  <c r="J106" i="5"/>
  <c r="K106" i="5"/>
  <c r="L106" i="5"/>
  <c r="M106" i="5"/>
  <c r="D107" i="5"/>
  <c r="E107" i="5"/>
  <c r="F107" i="5"/>
  <c r="G107" i="5"/>
  <c r="H107" i="5"/>
  <c r="I107" i="5"/>
  <c r="J107" i="5"/>
  <c r="K107" i="5"/>
  <c r="L107" i="5"/>
  <c r="M107" i="5"/>
  <c r="D108" i="5"/>
  <c r="E108" i="5"/>
  <c r="F108" i="5"/>
  <c r="G108" i="5"/>
  <c r="H108" i="5"/>
  <c r="I108" i="5"/>
  <c r="J108" i="5"/>
  <c r="K108" i="5"/>
  <c r="L108" i="5"/>
  <c r="M108" i="5"/>
  <c r="D109" i="5"/>
  <c r="E109" i="5"/>
  <c r="F109" i="5"/>
  <c r="G109" i="5"/>
  <c r="H109" i="5"/>
  <c r="I109" i="5"/>
  <c r="J109" i="5"/>
  <c r="K109" i="5"/>
  <c r="L109" i="5"/>
  <c r="M109" i="5"/>
  <c r="D110" i="5"/>
  <c r="E110" i="5"/>
  <c r="F110" i="5"/>
  <c r="G110" i="5"/>
  <c r="H110" i="5"/>
  <c r="I110" i="5"/>
  <c r="J110" i="5"/>
  <c r="K110" i="5"/>
  <c r="L110" i="5"/>
  <c r="M110" i="5"/>
  <c r="D111" i="5"/>
  <c r="E111" i="5"/>
  <c r="F111" i="5"/>
  <c r="G111" i="5"/>
  <c r="H111" i="5"/>
  <c r="I111" i="5"/>
  <c r="J111" i="5"/>
  <c r="K111" i="5"/>
  <c r="L111" i="5"/>
  <c r="M111" i="5"/>
  <c r="D112" i="5"/>
  <c r="E112" i="5"/>
  <c r="F112" i="5"/>
  <c r="G112" i="5"/>
  <c r="H112" i="5"/>
  <c r="I112" i="5"/>
  <c r="J112" i="5"/>
  <c r="K112" i="5"/>
  <c r="L112" i="5"/>
  <c r="M112" i="5"/>
  <c r="D113" i="5"/>
  <c r="E113" i="5"/>
  <c r="F113" i="5"/>
  <c r="G113" i="5"/>
  <c r="H113" i="5"/>
  <c r="I113" i="5"/>
  <c r="J113" i="5"/>
  <c r="K113" i="5"/>
  <c r="L113" i="5"/>
  <c r="M113" i="5"/>
  <c r="D114" i="5"/>
  <c r="E114" i="5"/>
  <c r="F114" i="5"/>
  <c r="G114" i="5"/>
  <c r="H114" i="5"/>
  <c r="I114" i="5"/>
  <c r="J114" i="5"/>
  <c r="K114" i="5"/>
  <c r="L114" i="5"/>
  <c r="M114" i="5"/>
  <c r="D115" i="5"/>
  <c r="E115" i="5"/>
  <c r="F115" i="5"/>
  <c r="G115" i="5"/>
  <c r="H115" i="5"/>
  <c r="I115" i="5"/>
  <c r="J115" i="5"/>
  <c r="K115" i="5"/>
  <c r="L115" i="5"/>
  <c r="M115" i="5"/>
  <c r="D116" i="5"/>
  <c r="E116" i="5"/>
  <c r="F116" i="5"/>
  <c r="G116" i="5"/>
  <c r="H116" i="5"/>
  <c r="I116" i="5"/>
  <c r="J116" i="5"/>
  <c r="K116" i="5"/>
  <c r="L116" i="5"/>
  <c r="M116" i="5"/>
  <c r="G8" i="5"/>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4" i="8"/>
  <c r="M18" i="7"/>
  <c r="M19" i="7"/>
  <c r="M20" i="7"/>
  <c r="M21" i="7"/>
  <c r="M22" i="7"/>
  <c r="M23" i="7"/>
  <c r="M24" i="7"/>
  <c r="M25" i="7"/>
  <c r="M26" i="7"/>
  <c r="M27" i="7"/>
  <c r="M28" i="7"/>
  <c r="M29" i="7"/>
  <c r="M30"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AD21" i="10"/>
  <c r="AD22" i="10"/>
  <c r="AD23" i="10"/>
  <c r="AD24" i="10"/>
  <c r="AD25" i="10"/>
  <c r="AD26" i="10"/>
  <c r="AC14" i="10"/>
  <c r="AC15" i="10"/>
  <c r="AC16" i="10"/>
  <c r="AC17" i="10"/>
  <c r="AC18" i="10"/>
  <c r="AC19" i="10"/>
  <c r="AC20" i="10"/>
  <c r="AC21" i="10"/>
  <c r="AC22" i="10"/>
  <c r="AC23" i="10"/>
  <c r="AC24" i="10"/>
  <c r="AC25" i="10"/>
  <c r="AC26" i="10"/>
  <c r="AC27" i="10"/>
  <c r="Q5" i="10"/>
  <c r="R5" i="10"/>
  <c r="S5" i="10"/>
  <c r="T5" i="10"/>
  <c r="U5" i="10"/>
  <c r="V5" i="10"/>
  <c r="W5" i="10"/>
  <c r="X5" i="10"/>
  <c r="Y5" i="10"/>
  <c r="Z5" i="10"/>
  <c r="AA5" i="10"/>
  <c r="Q6" i="10"/>
  <c r="R6" i="10"/>
  <c r="S6" i="10"/>
  <c r="T6" i="10"/>
  <c r="U6" i="10"/>
  <c r="V6" i="10"/>
  <c r="W6" i="10"/>
  <c r="X6" i="10"/>
  <c r="Y6" i="10"/>
  <c r="Z6" i="10"/>
  <c r="AA6" i="10"/>
  <c r="Q7" i="10"/>
  <c r="R7" i="10"/>
  <c r="S7" i="10"/>
  <c r="T7" i="10"/>
  <c r="U7" i="10"/>
  <c r="V7" i="10"/>
  <c r="W7" i="10"/>
  <c r="X7" i="10"/>
  <c r="Y7" i="10"/>
  <c r="Z7" i="10"/>
  <c r="AA7" i="10"/>
  <c r="Q8" i="10"/>
  <c r="R8" i="10"/>
  <c r="S8" i="10"/>
  <c r="T8" i="10"/>
  <c r="U8" i="10"/>
  <c r="V8" i="10"/>
  <c r="W8" i="10"/>
  <c r="X8" i="10"/>
  <c r="Y8" i="10"/>
  <c r="Z8" i="10"/>
  <c r="AA8" i="10"/>
  <c r="Q9" i="10"/>
  <c r="R9" i="10"/>
  <c r="S9" i="10"/>
  <c r="T9" i="10"/>
  <c r="U9" i="10"/>
  <c r="V9" i="10"/>
  <c r="W9" i="10"/>
  <c r="X9" i="10"/>
  <c r="Y9" i="10"/>
  <c r="Z9" i="10"/>
  <c r="AA9" i="10"/>
  <c r="Q10" i="10"/>
  <c r="R10" i="10"/>
  <c r="S10" i="10"/>
  <c r="T10" i="10"/>
  <c r="U10" i="10"/>
  <c r="V10" i="10"/>
  <c r="W10" i="10"/>
  <c r="X10" i="10"/>
  <c r="Y10" i="10"/>
  <c r="Z10" i="10"/>
  <c r="AA10" i="10"/>
  <c r="Q11" i="10"/>
  <c r="R11" i="10"/>
  <c r="S11" i="10"/>
  <c r="T11" i="10"/>
  <c r="U11" i="10"/>
  <c r="V11" i="10"/>
  <c r="W11" i="10"/>
  <c r="X11" i="10"/>
  <c r="Y11" i="10"/>
  <c r="Z11" i="10"/>
  <c r="AA11" i="10"/>
  <c r="R4" i="10"/>
  <c r="S4" i="10"/>
  <c r="T4" i="10"/>
  <c r="U4" i="10"/>
  <c r="V4" i="10"/>
  <c r="W4" i="10"/>
  <c r="X4" i="10"/>
  <c r="Y4" i="10"/>
  <c r="Z4" i="10"/>
  <c r="AA4" i="10"/>
  <c r="Q4" i="10"/>
  <c r="K4" i="7"/>
  <c r="C4"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L18" i="7"/>
  <c r="L19" i="7"/>
  <c r="L20" i="7"/>
  <c r="L21" i="7"/>
  <c r="L22" i="7"/>
  <c r="L23" i="7"/>
  <c r="L24" i="7"/>
  <c r="L25" i="7"/>
  <c r="L26" i="7"/>
  <c r="L27" i="7"/>
  <c r="L28" i="7"/>
  <c r="L29" i="7"/>
  <c r="L30" i="7"/>
  <c r="L31" i="7"/>
  <c r="L32" i="7"/>
  <c r="L33" i="7"/>
  <c r="L34" i="7"/>
  <c r="L35" i="7"/>
  <c r="L36" i="7"/>
  <c r="L37" i="7"/>
  <c r="L38"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N13" i="10"/>
  <c r="N14" i="10"/>
  <c r="N15" i="10"/>
  <c r="N16" i="10"/>
  <c r="N17" i="10"/>
  <c r="N18" i="10"/>
  <c r="N19" i="10"/>
  <c r="N20" i="10"/>
  <c r="N21" i="10"/>
  <c r="N22" i="10"/>
  <c r="N23" i="10"/>
  <c r="N24" i="10"/>
  <c r="N25" i="10"/>
  <c r="N26" i="10"/>
  <c r="N27" i="10"/>
  <c r="N28" i="10"/>
  <c r="N29" i="10"/>
  <c r="N30" i="10"/>
  <c r="N31" i="10"/>
  <c r="N32" i="10"/>
  <c r="M13" i="10"/>
  <c r="M14" i="10"/>
  <c r="M15" i="10"/>
  <c r="M16" i="10"/>
  <c r="M17" i="10"/>
  <c r="M18" i="10"/>
  <c r="M19" i="10"/>
  <c r="M20" i="10"/>
  <c r="M21" i="10"/>
  <c r="M22" i="10"/>
  <c r="M23" i="10"/>
  <c r="M24" i="10"/>
  <c r="M25" i="10"/>
  <c r="M26" i="10"/>
  <c r="M27" i="10"/>
  <c r="M28" i="10"/>
  <c r="M29" i="10"/>
  <c r="M30" i="10"/>
  <c r="M31" i="10"/>
  <c r="M32" i="10"/>
  <c r="C4" i="4"/>
  <c r="C4" i="3"/>
  <c r="D10" i="3" s="1"/>
  <c r="C9" i="3"/>
  <c r="C10" i="3"/>
  <c r="C11" i="3"/>
  <c r="C12" i="3"/>
  <c r="C13" i="3"/>
  <c r="C14" i="3"/>
  <c r="C15" i="3"/>
  <c r="C16"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8" i="3"/>
  <c r="D8" i="3" s="1"/>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 i="10"/>
  <c r="C4" i="6"/>
  <c r="E20" i="6"/>
  <c r="E18" i="6"/>
  <c r="E19" i="6"/>
  <c r="D18" i="6"/>
  <c r="D19" i="6"/>
  <c r="D20" i="6"/>
  <c r="C18" i="6"/>
  <c r="C19" i="6"/>
  <c r="C20" i="6"/>
  <c r="C9" i="5"/>
  <c r="D9" i="5" s="1"/>
  <c r="C10" i="5"/>
  <c r="J10" i="5" s="1"/>
  <c r="C11" i="5"/>
  <c r="H11" i="5" s="1"/>
  <c r="C12" i="5"/>
  <c r="F12" i="5" s="1"/>
  <c r="C13" i="5"/>
  <c r="D13" i="5" s="1"/>
  <c r="C14" i="5"/>
  <c r="J14" i="5" s="1"/>
  <c r="C15" i="5"/>
  <c r="H15" i="5" s="1"/>
  <c r="C16" i="5"/>
  <c r="F16" i="5" s="1"/>
  <c r="C17" i="5"/>
  <c r="D17" i="5" s="1"/>
  <c r="C18" i="5"/>
  <c r="C19" i="5"/>
  <c r="C20" i="5"/>
  <c r="C21" i="5"/>
  <c r="C22" i="5"/>
  <c r="C23" i="5"/>
  <c r="C24" i="5"/>
  <c r="C25" i="5"/>
  <c r="C26" i="5"/>
  <c r="C27" i="5"/>
  <c r="C28" i="5"/>
  <c r="C29" i="5"/>
  <c r="C8" i="5"/>
  <c r="H8" i="5" s="1"/>
  <c r="C99" i="3"/>
  <c r="C98" i="3"/>
  <c r="T92" i="3"/>
  <c r="C12" i="13" a="1"/>
  <c r="C13" i="13" a="1"/>
  <c r="C6" i="13" a="1"/>
  <c r="C3" i="13" a="1"/>
  <c r="C15" i="13" a="1"/>
  <c r="C4" i="13" a="1"/>
  <c r="C11" i="13" a="1"/>
  <c r="C7" i="13" a="1"/>
  <c r="C5" i="13" a="1"/>
  <c r="C14" i="13" a="1"/>
  <c r="H17" i="5" l="1"/>
  <c r="D17" i="3"/>
  <c r="C17" i="8"/>
  <c r="D17" i="8" s="1"/>
  <c r="AD13" i="10"/>
  <c r="AC13" i="10"/>
  <c r="G17" i="5"/>
  <c r="F17" i="5"/>
  <c r="E17" i="5"/>
  <c r="AD12" i="10"/>
  <c r="AC12" i="10"/>
  <c r="I16" i="5"/>
  <c r="E16" i="5"/>
  <c r="M16" i="5"/>
  <c r="L16" i="5"/>
  <c r="K16" i="5"/>
  <c r="J16" i="5"/>
  <c r="D15" i="3"/>
  <c r="D14" i="3"/>
  <c r="D13" i="3"/>
  <c r="D12" i="3"/>
  <c r="D11" i="3"/>
  <c r="C15" i="13"/>
  <c r="C14" i="13"/>
  <c r="C13" i="13"/>
  <c r="C12" i="13"/>
  <c r="C11" i="13"/>
  <c r="C7" i="13"/>
  <c r="C6" i="13"/>
  <c r="C5" i="13"/>
  <c r="C4" i="13"/>
  <c r="C3" i="13"/>
  <c r="D9" i="3"/>
  <c r="D8" i="5"/>
  <c r="F8" i="5"/>
  <c r="F15" i="5"/>
  <c r="H14" i="5"/>
  <c r="J13" i="5"/>
  <c r="D12" i="5"/>
  <c r="F11" i="5"/>
  <c r="H10" i="5"/>
  <c r="J9" i="5"/>
  <c r="I10" i="5"/>
  <c r="M8" i="5"/>
  <c r="E8" i="5"/>
  <c r="M15" i="5"/>
  <c r="E15" i="5"/>
  <c r="G14" i="5"/>
  <c r="I13" i="5"/>
  <c r="K12" i="5"/>
  <c r="M11" i="5"/>
  <c r="E11" i="5"/>
  <c r="G10" i="5"/>
  <c r="I9" i="5"/>
  <c r="L8" i="5"/>
  <c r="L15" i="5"/>
  <c r="D15" i="5"/>
  <c r="F14" i="5"/>
  <c r="H13" i="5"/>
  <c r="J12" i="5"/>
  <c r="L11" i="5"/>
  <c r="D11" i="5"/>
  <c r="F10" i="5"/>
  <c r="H9" i="5"/>
  <c r="E8" i="3"/>
  <c r="K8" i="5"/>
  <c r="K15" i="5"/>
  <c r="M14" i="5"/>
  <c r="E14" i="5"/>
  <c r="G13" i="5"/>
  <c r="I12" i="5"/>
  <c r="K11" i="5"/>
  <c r="E10" i="5"/>
  <c r="G9" i="5"/>
  <c r="J8" i="5"/>
  <c r="J15" i="5"/>
  <c r="L14" i="5"/>
  <c r="D14" i="5"/>
  <c r="F13" i="5"/>
  <c r="H12" i="5"/>
  <c r="J11" i="5"/>
  <c r="D10" i="5"/>
  <c r="F9" i="5"/>
  <c r="I8" i="5"/>
  <c r="I15" i="5"/>
  <c r="K14" i="5"/>
  <c r="M13" i="5"/>
  <c r="E13" i="5"/>
  <c r="G12" i="5"/>
  <c r="I11" i="5"/>
  <c r="K10" i="5"/>
  <c r="M9" i="5"/>
  <c r="E9" i="5"/>
  <c r="L13" i="5"/>
  <c r="L9" i="5"/>
  <c r="H16" i="5"/>
  <c r="G16" i="5"/>
  <c r="C10" i="8"/>
  <c r="D10" i="8" s="1"/>
  <c r="C9" i="8"/>
  <c r="D9" i="8" s="1"/>
  <c r="C16" i="8"/>
  <c r="D16" i="8" s="1"/>
  <c r="C15" i="8"/>
  <c r="D15" i="8" s="1"/>
  <c r="C14" i="8"/>
  <c r="D14" i="8" s="1"/>
  <c r="C11" i="8"/>
  <c r="D11" i="8" s="1"/>
  <c r="E13" i="3"/>
  <c r="C13" i="8"/>
  <c r="D13" i="8" s="1"/>
  <c r="C8" i="8"/>
  <c r="C12" i="8"/>
  <c r="D12" i="8" s="1"/>
  <c r="D16" i="3"/>
  <c r="E16" i="3"/>
  <c r="E12" i="3"/>
  <c r="E11" i="3"/>
  <c r="E10" i="3"/>
  <c r="E9" i="3"/>
  <c r="E15" i="3"/>
  <c r="E14" i="3"/>
  <c r="AD10" i="10"/>
  <c r="AD7" i="10"/>
  <c r="AD9" i="10"/>
  <c r="AD6" i="10"/>
  <c r="AD11" i="10"/>
  <c r="AD8" i="10"/>
  <c r="AD5" i="10"/>
  <c r="AD4" i="10"/>
  <c r="AC9" i="10"/>
  <c r="AC6" i="10"/>
  <c r="AC11" i="10"/>
  <c r="AC8" i="10"/>
  <c r="AC7" i="10"/>
  <c r="AC5" i="10"/>
  <c r="AC10" i="10"/>
  <c r="AC4" i="10"/>
  <c r="D27" i="10"/>
  <c r="D19" i="10"/>
  <c r="D11" i="10"/>
  <c r="D21" i="10"/>
  <c r="D13" i="10"/>
  <c r="D5" i="10"/>
  <c r="D26" i="10"/>
  <c r="D18" i="10"/>
  <c r="D10" i="10"/>
  <c r="D3" i="10"/>
  <c r="D25" i="10"/>
  <c r="D17" i="10"/>
  <c r="D9" i="10"/>
  <c r="D28" i="10"/>
  <c r="D20" i="10"/>
  <c r="D12" i="10"/>
  <c r="D4" i="10"/>
  <c r="D32" i="10"/>
  <c r="D24" i="10"/>
  <c r="D16" i="10"/>
  <c r="D8" i="10"/>
  <c r="D31" i="10"/>
  <c r="D23" i="10"/>
  <c r="D15" i="10"/>
  <c r="D7" i="10"/>
  <c r="D30" i="10"/>
  <c r="D22" i="10"/>
  <c r="D14" i="10"/>
  <c r="D6" i="10"/>
  <c r="D29" i="10"/>
  <c r="C17" i="7" l="1"/>
  <c r="D17" i="7" s="1"/>
  <c r="D8" i="8"/>
  <c r="E17" i="8"/>
  <c r="C17" i="6"/>
  <c r="D17" i="6" s="1"/>
  <c r="M12" i="10"/>
  <c r="C16" i="7"/>
  <c r="M7" i="10"/>
  <c r="N7" i="10" s="1"/>
  <c r="K12" i="7" s="1"/>
  <c r="C13" i="6"/>
  <c r="D13" i="6" s="1"/>
  <c r="M4" i="10"/>
  <c r="N4" i="10" s="1"/>
  <c r="K9" i="7" s="1"/>
  <c r="M10" i="10"/>
  <c r="N10" i="10" s="1"/>
  <c r="C16" i="6"/>
  <c r="D16" i="6" s="1"/>
  <c r="M8" i="10"/>
  <c r="N8" i="10" s="1"/>
  <c r="K13" i="7" s="1"/>
  <c r="M6" i="10"/>
  <c r="N6" i="10" s="1"/>
  <c r="K11" i="7" s="1"/>
  <c r="M9" i="10"/>
  <c r="N9" i="10" s="1"/>
  <c r="M5" i="10"/>
  <c r="N5" i="10" s="1"/>
  <c r="K10" i="7" s="1"/>
  <c r="C12" i="6"/>
  <c r="D12" i="6" s="1"/>
  <c r="C15" i="6"/>
  <c r="D15" i="6" s="1"/>
  <c r="C9" i="6"/>
  <c r="D9" i="6" s="1"/>
  <c r="M3" i="10"/>
  <c r="N3" i="10" s="1"/>
  <c r="K8" i="7" s="1"/>
  <c r="E8" i="8"/>
  <c r="C8" i="6"/>
  <c r="E10" i="8"/>
  <c r="E16" i="8"/>
  <c r="M11" i="10"/>
  <c r="E9" i="8"/>
  <c r="C10" i="6"/>
  <c r="D10" i="6" s="1"/>
  <c r="E11" i="8"/>
  <c r="C14" i="6"/>
  <c r="D14" i="6" s="1"/>
  <c r="E15" i="8"/>
  <c r="C11" i="6"/>
  <c r="D11" i="6" s="1"/>
  <c r="E12" i="8"/>
  <c r="E13" i="8"/>
  <c r="E14" i="8"/>
  <c r="C15" i="7"/>
  <c r="D15" i="7" s="1"/>
  <c r="C11" i="7"/>
  <c r="C10" i="7"/>
  <c r="D10" i="7" s="1"/>
  <c r="C13" i="7"/>
  <c r="D13" i="7" s="1"/>
  <c r="C9" i="7"/>
  <c r="C14" i="7"/>
  <c r="C12" i="7"/>
  <c r="D12" i="7" s="1"/>
  <c r="C8" i="7"/>
  <c r="F4" i="10" a="1"/>
  <c r="F4" i="10" s="1"/>
  <c r="F3" i="10" a="1"/>
  <c r="F3" i="10" s="1"/>
  <c r="E17" i="7" l="1"/>
  <c r="N12" i="10"/>
  <c r="K17" i="7" s="1"/>
  <c r="E17" i="6"/>
  <c r="N11" i="10"/>
  <c r="K16" i="7" s="1"/>
  <c r="D16" i="7"/>
  <c r="E16" i="7"/>
  <c r="K15" i="7"/>
  <c r="M15" i="7" s="1"/>
  <c r="K14" i="7"/>
  <c r="M14" i="7" s="1"/>
  <c r="E12" i="6"/>
  <c r="E14" i="6"/>
  <c r="E10" i="6"/>
  <c r="E13" i="6"/>
  <c r="E8" i="6"/>
  <c r="E15" i="6"/>
  <c r="E16" i="6"/>
  <c r="D8" i="6"/>
  <c r="E9" i="6"/>
  <c r="E11" i="6"/>
  <c r="E9" i="7"/>
  <c r="E13" i="7"/>
  <c r="E10" i="7"/>
  <c r="E14" i="7"/>
  <c r="E11" i="7"/>
  <c r="E15" i="7"/>
  <c r="E12" i="7"/>
  <c r="E8" i="7"/>
  <c r="D14" i="7"/>
  <c r="D11" i="7"/>
  <c r="D9" i="7"/>
  <c r="D8" i="7"/>
  <c r="L8" i="7"/>
  <c r="L10" i="7"/>
  <c r="L13" i="7"/>
  <c r="L9" i="7"/>
  <c r="L12" i="7"/>
  <c r="L11" i="7"/>
  <c r="I18" i="6"/>
  <c r="M17" i="7" l="1"/>
  <c r="L17" i="7"/>
  <c r="M16" i="7"/>
  <c r="L16" i="7"/>
  <c r="L15" i="7"/>
  <c r="M11" i="7"/>
  <c r="M13" i="7"/>
  <c r="M10" i="7"/>
  <c r="M8" i="7"/>
  <c r="L14" i="7"/>
  <c r="M12" i="7"/>
  <c r="M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<sst xmlns="http://schemas.openxmlformats.org/spreadsheetml/2006/main" count="213" uniqueCount="105">
  <si>
    <t>Project R</t>
  </si>
  <si>
    <t>Project G</t>
  </si>
  <si>
    <t>Projet Z</t>
  </si>
  <si>
    <t>Project A</t>
  </si>
  <si>
    <t>Project Y</t>
  </si>
  <si>
    <t>Project Q</t>
  </si>
  <si>
    <t>Project P</t>
  </si>
  <si>
    <t>Project M</t>
  </si>
  <si>
    <t>NPV TOTAL</t>
  </si>
  <si>
    <t>RANKING</t>
  </si>
  <si>
    <t>IRR</t>
  </si>
  <si>
    <t>Profitability Index</t>
  </si>
  <si>
    <t>The Project with the highest NPV might not be the Project with the fastest Payback period. One might want to take the project that has the shortest Payback period if one need to keep low levels of debt.</t>
  </si>
  <si>
    <t>The higher the profitability index is the better the project is. But be carefull this do not take into account the scale of the project so one should look at the scale of the initial investment and the cash flows and not rely only on this index to trake investment decisions</t>
  </si>
  <si>
    <t>Year</t>
  </si>
  <si>
    <t>Discount Rate</t>
  </si>
  <si>
    <t>Cash Flow at each Period</t>
  </si>
  <si>
    <t>NPV at each Period</t>
  </si>
  <si>
    <t>Go to NPV Analysis</t>
  </si>
  <si>
    <t>Go to NPV Project</t>
  </si>
  <si>
    <t>Investment Ranking Per NPV</t>
  </si>
  <si>
    <t>Investment Comparation Per NPV</t>
  </si>
  <si>
    <t>Investment Ranking Per IRR</t>
  </si>
  <si>
    <t xml:space="preserve">Investment Ranking Per PayBack </t>
  </si>
  <si>
    <t>Acceptance/Rejection Criteria</t>
  </si>
  <si>
    <t>Discount rate list</t>
  </si>
  <si>
    <t>NPV PROJECT</t>
  </si>
  <si>
    <t>NPV Analysis</t>
  </si>
  <si>
    <t>NPV ANALYSIS</t>
  </si>
  <si>
    <t>Crossover Rate</t>
  </si>
  <si>
    <t>Calculation of Crossover Rate</t>
  </si>
  <si>
    <t>Go to IRR Analysis</t>
  </si>
  <si>
    <t>Go to PayBack analysis</t>
  </si>
  <si>
    <t>PayBack Period</t>
  </si>
  <si>
    <t>Discounted PayBack Period</t>
  </si>
  <si>
    <t>Criteria PayBack</t>
  </si>
  <si>
    <t>Criteria payback List</t>
  </si>
  <si>
    <t>Calculation Discounted Payback</t>
  </si>
  <si>
    <t xml:space="preserve">Investment Ranking Per Discounted PayBack </t>
  </si>
  <si>
    <t>Go To Profitability Index</t>
  </si>
  <si>
    <t>Investment Ranking Per IP</t>
  </si>
  <si>
    <t>Go To Option Pricing</t>
  </si>
  <si>
    <t>.</t>
  </si>
  <si>
    <t>Diff Project</t>
  </si>
  <si>
    <t>Calculation PayBack</t>
  </si>
  <si>
    <t>Cash Flow not Discounted</t>
  </si>
  <si>
    <t>Option Pricing</t>
  </si>
  <si>
    <t>Black &amp; Scholes Option Pricing</t>
  </si>
  <si>
    <t>Call</t>
  </si>
  <si>
    <t>Monte Carlo Option Pricing</t>
  </si>
  <si>
    <t>Put</t>
  </si>
  <si>
    <t>Inputs:</t>
  </si>
  <si>
    <t>Stock Price</t>
  </si>
  <si>
    <t>Strike Price</t>
  </si>
  <si>
    <t>Time to Expiration days</t>
  </si>
  <si>
    <t>Expected Return</t>
  </si>
  <si>
    <t xml:space="preserve"> </t>
  </si>
  <si>
    <t xml:space="preserve">Implied Volatility </t>
  </si>
  <si>
    <t xml:space="preserve">Volatility </t>
  </si>
  <si>
    <t>Call or Put</t>
  </si>
  <si>
    <t xml:space="preserve">Risk-Free Interest Rate </t>
  </si>
  <si>
    <t>D1</t>
  </si>
  <si>
    <t>Iteration</t>
  </si>
  <si>
    <t>Dividend Yield</t>
  </si>
  <si>
    <t>D2</t>
  </si>
  <si>
    <t>Output:</t>
  </si>
  <si>
    <t>Price of the Option</t>
  </si>
  <si>
    <t>Target Option Price</t>
  </si>
  <si>
    <t>Call option Greeks</t>
  </si>
  <si>
    <t>Delta</t>
  </si>
  <si>
    <t>Gamma</t>
  </si>
  <si>
    <t>Theta</t>
  </si>
  <si>
    <t>Vega</t>
  </si>
  <si>
    <t>Rho</t>
  </si>
  <si>
    <t>Put Option Greek</t>
  </si>
  <si>
    <t>Exercice Part 1</t>
  </si>
  <si>
    <t>Cash Flow of Project</t>
  </si>
  <si>
    <t>NPV Project</t>
  </si>
  <si>
    <t>IRR Analysis</t>
  </si>
  <si>
    <t>PayBack Analysis</t>
  </si>
  <si>
    <t>Exercice Part 2</t>
  </si>
  <si>
    <t xml:space="preserve">Option Greeks </t>
  </si>
  <si>
    <t xml:space="preserve">Annexes </t>
  </si>
  <si>
    <t>DATA EX1</t>
  </si>
  <si>
    <t>DATA EX2</t>
  </si>
  <si>
    <t>Project RI</t>
  </si>
  <si>
    <t>On this page, you will find all the different investments that you want to analyze with their respective cash flows at each period. We decided to limit the number of periods to 10 for aesthetic reasons, as there weren't any constraints on the number of periods. Moreover, at the top of the page, you will find two buttons linked to macros. The first one allows you to enter a new project. It will prompt you for the project's name, the number of periods, and all the associated cash flows. It will then update all the sheets with the new project. The second button allows you to delete any project by simply entering its name. Finally, you can move to the next page on all our sheets by clicking on the cell "Go to...." on the right side of the sheets.</t>
  </si>
  <si>
    <t>On the NPV Project page, you will find the NPV values for each project at each time 't.' You can adjust the discount rate for all projects on that page by using the list associated with cell C4.</t>
  </si>
  <si>
    <t>On this page, you will find an analysis of the NPVs of projects. This analysis is based on the following criteria: if NPV &gt; 0, then the project should be accepted. Moreover, the projects are ranked according to their NPV values. Furthermore, on the right side of the sheet, you will find a graphic that compares the NPVs of two projects as the discount rate changes. It will allow you to determine which project is better for different discount rates and also provide the crossover rate, which is the discount rate where the two NPVs are equal. To compare two projects, all you need to do is click on the button "Compare 2 Projects" and enter the names of the projects.</t>
  </si>
  <si>
    <t>On this page, you will be able to rank investments according to their Internal Rate of Return (IRR). You will see if your projects are accepted or not based on this criterion, and you will also see their ranking. All details about the quality of the IRR to make an investment decision are discussed in the sheet.</t>
  </si>
  <si>
    <t>On this page, you will be able to rank investments according to their Payback Period and their Discounted Payback Period. You will see if your projects are accepted or not based on these criteria, and you will also see their ranking. You can adjust your Payback constraints by using the list in cell G2. All details about the quality of the Payback Period to make an investment decision are discussed in the sheet.</t>
  </si>
  <si>
    <t>On this page, you will be able to rank investments according to their Profitability Index. You will see if your projects are accepted or not based on this criterion, and you will also see their ranking. All details about the quality of the Profitability Index to make an investment decision are discussed in the sheet.</t>
  </si>
  <si>
    <t>On this page, you will be able to price an option using two methods. The first method is the Black-Scholes formula. You need to enter all your data about your stock (Stock Price, Strike Price, Time to Expiration Date, Volatility, Risk-Free Rate). You can then choose whether you want to price a call option or a put option by using the list in cell E12. The results appear in cell E17. In this part of the sheet, you can also calculate the implied volatility, which is the associated volatility required for a given option price. To compute it, enter your target option price in cell E18 and click on the button "Calculate Implied Volatility," which will update the Volatility cell with the result. The second method for option pricing is the Monte Carlo Simulation. Similarly, you will need to enter all your stock parameters and the number of iterations you want, then click on the button "Run Simulation."</t>
  </si>
  <si>
    <t>On this page, you will find the calculation of the option Greeks, which are financial metrics used to measure the factors that affect the price of an options contract.</t>
  </si>
  <si>
    <t>On this page you will find all the intermediate formulas that we used to compute the analysis for the exercice one.</t>
  </si>
  <si>
    <t>On this page you will find all the intermediate formulas that we used to compute the analysis for the exercice two.</t>
  </si>
  <si>
    <t>The IRR is another way to choose between different projects. If the IRR is higher than the required rate of return, then the project should be accepted. If projects are mutually exclusive, the project with the higher IRR should be selected. But be careful, the IRR is exposed to different problems: multiple IRR, timing problem, scale problem. We should look at the NPV to have more information on the project.</t>
  </si>
  <si>
    <t>The project with the highest NPV might not be the project with the fastest payback period. One might want to choose the project with the shortest payback period if there is a need to maintain low levels of debt.</t>
  </si>
  <si>
    <t>The higher the profitability index, the better the project. But be careful; this does not take into account the scale of the project. Therefore, one should consider the scale of the initial investment and the cash flows, and not rely solely on this index to make investment decisions.</t>
  </si>
  <si>
    <t>d1</t>
  </si>
  <si>
    <t>d2</t>
  </si>
  <si>
    <t>Pellegrin Gabrielle</t>
  </si>
  <si>
    <t>Fourmigue Rémi</t>
  </si>
  <si>
    <t>Roma Kelvin</t>
  </si>
  <si>
    <t>Atzenhoffer Lise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</si>
</sst>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0\ &quot;€&quot;;[Red]\-#,##0\ &quot;€&quot;"/>
    <numFmt numFmtId="8" formatCode="#,##0.00\ &quot;€&quot;;[Red]\-#,##0.00\ &quot;€&quot;"/>
    <numFmt numFmtId="44" formatCode="_-* #,##0.00\ &quot;€&quot;_-;\-* #,##0.00\ &quot;€&quot;_-;_-* &quot;-&quot;??\ &quot;€&quot;_-;_-@_-"/>
    <numFmt numFmtId="164" formatCode="_-* #,##0\ &quot;€&quot;_-;\-* #,##0\ &quot;€&quot;_-;_-* &quot;-&quot;??\ &quot;€&quot;_-;_-@_-"/>
    <numFmt numFmtId="165" formatCode="0.0%"/>
    <numFmt numFmtId="166" formatCode="0.0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b/>
      <sz val="14"/>
      <color theme="1"/>
      <name val="Calibri"/>
      <family val="2"/>
      <scheme val="minor"/>
    </font>
    <font>
      <b/>
      <sz val="11"/>
      <color rgb="FF00B0F0"/>
      <name val="Calibri"/>
      <family val="2"/>
      <scheme val="minor"/>
    </font>
    <font>
      <u/>
      <sz val="11"/>
      <color theme="10"/>
      <name val="Calibri"/>
      <family val="2"/>
      <scheme val="minor"/>
    </font>
    <font>
      <sz val="11"/>
      <color theme="2" tint="-9.9978637043366805E-2"/>
      <name val="Calibri"/>
      <family val="2"/>
      <scheme val="minor"/>
    </font>
    <font>
      <i/>
      <sz val="11"/>
      <color theme="1"/>
      <name val="Calibri"/>
      <family val="2"/>
      <scheme val="minor"/>
    </font>
    <font>
      <b/>
      <i/>
      <sz val="9"/>
      <color theme="1"/>
      <name val="Calibri"/>
      <family val="2"/>
      <scheme val="minor"/>
    </font>
    <font>
      <b/>
      <i/>
      <sz val="11"/>
      <color theme="1"/>
      <name val="Calibri"/>
      <family val="2"/>
      <scheme val="minor"/>
    </font>
    <font>
      <b/>
      <u/>
      <sz val="11"/>
      <color theme="1"/>
      <name val="Calibri"/>
      <family val="2"/>
      <scheme val="minor"/>
    </font>
    <font>
      <b/>
      <sz val="12"/>
      <color theme="0"/>
      <name val="Calibri"/>
      <family val="2"/>
      <scheme val="minor"/>
    </font>
    <font>
      <sz val="11"/>
      <name val="Calibri"/>
      <family val="2"/>
      <scheme val="minor"/>
    </font>
    <font>
      <sz val="11"/>
      <color rgb="FF050505"/>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rgb="FFEB7D03"/>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bgColor indexed="64"/>
      </patternFill>
    </fill>
    <fill>
      <patternFill patternType="solid">
        <fgColor theme="5"/>
        <bgColor indexed="64"/>
      </patternFill>
    </fill>
    <fill>
      <patternFill patternType="solid">
        <fgColor theme="7"/>
        <bgColor indexed="64"/>
      </patternFill>
    </fill>
  </fills>
  <borders count="26">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8" fillId="0" borderId="0" applyNumberFormat="0" applyFill="0" applyBorder="0" applyAlignment="0" applyProtection="0"/>
  </cellStyleXfs>
  <cellXfs count="192">
    <xf numFmtId="0" fontId="0" fillId="0" borderId="0" xfId="0"/>
    <xf numFmtId="0" fontId="0" fillId="3" borderId="0" xfId="0" applyFill="1"/>
    <xf numFmtId="0" fontId="4" fillId="0" borderId="0" xfId="0" applyFont="1"/>
    <xf numFmtId="8" fontId="0" fillId="0" borderId="0" xfId="0" applyNumberFormat="1"/>
    <xf numFmtId="0" fontId="0" fillId="0" borderId="7" xfId="0" applyBorder="1"/>
    <xf numFmtId="0" fontId="0" fillId="0" borderId="8" xfId="0" applyBorder="1"/>
    <xf numFmtId="44" fontId="0" fillId="0" borderId="0" xfId="1" applyFont="1" applyBorder="1"/>
    <xf numFmtId="0" fontId="5" fillId="0" borderId="0" xfId="0" applyFont="1"/>
    <xf numFmtId="0" fontId="0" fillId="0" borderId="14" xfId="0" applyBorder="1"/>
    <xf numFmtId="0" fontId="0" fillId="0" borderId="15" xfId="0" applyBorder="1"/>
    <xf numFmtId="0" fontId="0" fillId="0" borderId="16" xfId="0" applyBorder="1"/>
    <xf numFmtId="0" fontId="6" fillId="0" borderId="0" xfId="0" applyFont="1"/>
    <xf numFmtId="0" fontId="6" fillId="0" borderId="0" xfId="0" applyFont="1" applyAlignment="1">
      <alignment horizontal="center"/>
    </xf>
    <xf numFmtId="2" fontId="0" fillId="0" borderId="1" xfId="0" applyNumberFormat="1" applyBorder="1"/>
    <xf numFmtId="2" fontId="0" fillId="0" borderId="2" xfId="0" applyNumberFormat="1" applyBorder="1"/>
    <xf numFmtId="9" fontId="0" fillId="0" borderId="0" xfId="0" applyNumberFormat="1"/>
    <xf numFmtId="2" fontId="0" fillId="0" borderId="0" xfId="0" applyNumberFormat="1"/>
    <xf numFmtId="0" fontId="0" fillId="0" borderId="0" xfId="0" applyAlignment="1">
      <alignment vertical="top"/>
    </xf>
    <xf numFmtId="0" fontId="0" fillId="0" borderId="0" xfId="0" applyAlignment="1">
      <alignment horizontal="left" vertical="top" wrapText="1"/>
    </xf>
    <xf numFmtId="0" fontId="2" fillId="4" borderId="0" xfId="0" applyFont="1" applyFill="1"/>
    <xf numFmtId="0" fontId="3" fillId="0" borderId="0" xfId="0" applyFont="1"/>
    <xf numFmtId="9" fontId="7" fillId="0" borderId="0" xfId="2" applyFont="1"/>
    <xf numFmtId="164" fontId="0" fillId="0" borderId="1" xfId="1" applyNumberFormat="1" applyFont="1" applyBorder="1"/>
    <xf numFmtId="164" fontId="0" fillId="0" borderId="2" xfId="1" applyNumberFormat="1" applyFont="1" applyBorder="1"/>
    <xf numFmtId="0" fontId="9" fillId="0" borderId="0" xfId="0" applyFont="1"/>
    <xf numFmtId="0" fontId="2" fillId="4" borderId="0" xfId="0" applyFont="1" applyFill="1" applyAlignment="1">
      <alignment vertical="center"/>
    </xf>
    <xf numFmtId="0" fontId="0" fillId="0" borderId="0" xfId="0" applyAlignment="1">
      <alignment horizontal="center"/>
    </xf>
    <xf numFmtId="164" fontId="0" fillId="0" borderId="0" xfId="1" applyNumberFormat="1" applyFont="1"/>
    <xf numFmtId="164" fontId="0" fillId="0" borderId="0" xfId="1" applyNumberFormat="1" applyFont="1" applyBorder="1"/>
    <xf numFmtId="0" fontId="0" fillId="0" borderId="2" xfId="0" applyBorder="1"/>
    <xf numFmtId="0" fontId="3" fillId="0" borderId="0" xfId="0" applyFont="1" applyAlignment="1">
      <alignment horizontal="center"/>
    </xf>
    <xf numFmtId="0" fontId="3" fillId="0" borderId="0" xfId="0" applyFont="1" applyAlignment="1">
      <alignment horizontal="left"/>
    </xf>
    <xf numFmtId="0" fontId="11" fillId="7" borderId="0" xfId="0" applyFont="1" applyFill="1"/>
    <xf numFmtId="0" fontId="4" fillId="0" borderId="0" xfId="0" applyFont="1" applyAlignment="1">
      <alignment horizontal="center"/>
    </xf>
    <xf numFmtId="0" fontId="0" fillId="0" borderId="1" xfId="0" applyBorder="1"/>
    <xf numFmtId="0" fontId="0" fillId="2" borderId="0" xfId="0" applyFill="1"/>
    <xf numFmtId="0" fontId="2" fillId="4" borderId="3" xfId="0" applyFont="1" applyFill="1" applyBorder="1"/>
    <xf numFmtId="10" fontId="0" fillId="0" borderId="0" xfId="2" applyNumberFormat="1" applyFont="1"/>
    <xf numFmtId="10" fontId="3" fillId="0" borderId="3" xfId="2" applyNumberFormat="1" applyFont="1" applyBorder="1"/>
    <xf numFmtId="10" fontId="0" fillId="0" borderId="0" xfId="2" applyNumberFormat="1" applyFont="1" applyFill="1" applyBorder="1"/>
    <xf numFmtId="10" fontId="0" fillId="0" borderId="0" xfId="2" applyNumberFormat="1" applyFont="1" applyBorder="1"/>
    <xf numFmtId="10" fontId="3" fillId="0" borderId="2" xfId="2" applyNumberFormat="1" applyFont="1" applyBorder="1"/>
    <xf numFmtId="10" fontId="3" fillId="0" borderId="0" xfId="2" applyNumberFormat="1" applyFont="1" applyBorder="1"/>
    <xf numFmtId="164" fontId="3" fillId="0" borderId="2" xfId="1" applyNumberFormat="1" applyFont="1" applyBorder="1"/>
    <xf numFmtId="164" fontId="3" fillId="0" borderId="0" xfId="1" applyNumberFormat="1" applyFont="1" applyBorder="1"/>
    <xf numFmtId="0" fontId="3" fillId="2" borderId="0" xfId="0" applyFont="1" applyFill="1"/>
    <xf numFmtId="0" fontId="2" fillId="4" borderId="0" xfId="0" applyFont="1" applyFill="1" applyAlignment="1">
      <alignment horizontal="center" vertical="center"/>
    </xf>
    <xf numFmtId="0" fontId="3" fillId="0" borderId="0" xfId="0" applyFont="1" applyAlignment="1">
      <alignment vertical="center" wrapText="1"/>
    </xf>
    <xf numFmtId="2" fontId="0" fillId="0" borderId="2" xfId="1" applyNumberFormat="1" applyFont="1" applyBorder="1"/>
    <xf numFmtId="2" fontId="0" fillId="0" borderId="1" xfId="1" applyNumberFormat="1" applyFont="1" applyBorder="1"/>
    <xf numFmtId="2" fontId="0" fillId="0" borderId="0" xfId="1" applyNumberFormat="1" applyFont="1" applyBorder="1"/>
    <xf numFmtId="0" fontId="11" fillId="8" borderId="0" xfId="0" applyFont="1" applyFill="1"/>
    <xf numFmtId="164" fontId="3" fillId="0" borderId="1" xfId="1" applyNumberFormat="1" applyFont="1" applyBorder="1"/>
    <xf numFmtId="164" fontId="0" fillId="0" borderId="10" xfId="1" applyNumberFormat="1" applyFont="1" applyBorder="1"/>
    <xf numFmtId="10" fontId="3" fillId="0" borderId="1" xfId="2" applyNumberFormat="1" applyFont="1" applyBorder="1"/>
    <xf numFmtId="10" fontId="12" fillId="0" borderId="0" xfId="2" applyNumberFormat="1" applyFont="1" applyFill="1" applyBorder="1" applyAlignment="1">
      <alignment vertical="top" wrapText="1"/>
    </xf>
    <xf numFmtId="0" fontId="0" fillId="0" borderId="0" xfId="0" applyAlignment="1">
      <alignment vertical="top" wrapText="1"/>
    </xf>
    <xf numFmtId="0" fontId="10" fillId="2" borderId="0" xfId="0" applyFont="1" applyFill="1" applyAlignment="1">
      <alignment vertical="top" wrapText="1"/>
    </xf>
    <xf numFmtId="0" fontId="0" fillId="2" borderId="0" xfId="0" applyFill="1" applyAlignment="1">
      <alignment vertical="top" wrapText="1"/>
    </xf>
    <xf numFmtId="0" fontId="0" fillId="2" borderId="0" xfId="0" applyFill="1" applyAlignment="1">
      <alignment horizontal="center"/>
    </xf>
    <xf numFmtId="0" fontId="2" fillId="4" borderId="3" xfId="0" applyFont="1" applyFill="1" applyBorder="1" applyAlignment="1">
      <alignment horizontal="left"/>
    </xf>
    <xf numFmtId="9" fontId="0" fillId="2" borderId="5" xfId="2" applyFont="1" applyFill="1" applyBorder="1" applyAlignment="1">
      <alignment horizontal="left"/>
    </xf>
    <xf numFmtId="9" fontId="0" fillId="2" borderId="6" xfId="2" applyFont="1" applyFill="1" applyBorder="1" applyAlignment="1">
      <alignment horizontal="left"/>
    </xf>
    <xf numFmtId="0" fontId="2" fillId="4" borderId="3" xfId="0" applyFont="1" applyFill="1" applyBorder="1" applyAlignment="1">
      <alignment horizontal="center"/>
    </xf>
    <xf numFmtId="6" fontId="0" fillId="2" borderId="5" xfId="0" applyNumberFormat="1" applyFill="1" applyBorder="1" applyAlignment="1">
      <alignment horizontal="center"/>
    </xf>
    <xf numFmtId="6" fontId="0" fillId="2" borderId="6" xfId="0" applyNumberFormat="1" applyFill="1" applyBorder="1" applyAlignment="1">
      <alignment horizontal="center"/>
    </xf>
    <xf numFmtId="9" fontId="0" fillId="0" borderId="0" xfId="2" applyFont="1" applyFill="1" applyAlignment="1">
      <alignment horizontal="left"/>
    </xf>
    <xf numFmtId="8" fontId="0" fillId="0" borderId="0" xfId="0" applyNumberFormat="1" applyAlignment="1">
      <alignment horizontal="center"/>
    </xf>
    <xf numFmtId="0" fontId="0" fillId="0" borderId="0" xfId="0" applyAlignment="1">
      <alignment horizontal="left"/>
    </xf>
    <xf numFmtId="166" fontId="0" fillId="0" borderId="4" xfId="2" applyNumberFormat="1" applyFont="1" applyBorder="1"/>
    <xf numFmtId="9" fontId="0" fillId="0" borderId="6" xfId="2" applyFont="1" applyBorder="1"/>
    <xf numFmtId="0" fontId="0" fillId="0" borderId="4" xfId="0" applyBorder="1"/>
    <xf numFmtId="0" fontId="0" fillId="0" borderId="5" xfId="0" applyBorder="1"/>
    <xf numFmtId="0" fontId="0" fillId="0" borderId="6" xfId="0" applyBorder="1"/>
    <xf numFmtId="0" fontId="0" fillId="0" borderId="4" xfId="0" applyBorder="1" applyAlignment="1">
      <alignment horizontal="left"/>
    </xf>
    <xf numFmtId="0" fontId="0" fillId="0" borderId="5" xfId="0" applyBorder="1" applyAlignment="1">
      <alignment horizontal="left"/>
    </xf>
    <xf numFmtId="0" fontId="0" fillId="0" borderId="6" xfId="0" applyBorder="1" applyAlignment="1">
      <alignment horizontal="left"/>
    </xf>
    <xf numFmtId="0" fontId="3" fillId="2" borderId="0" xfId="0" applyFont="1" applyFill="1" applyAlignment="1">
      <alignment horizontal="left"/>
    </xf>
    <xf numFmtId="0" fontId="3" fillId="2" borderId="0" xfId="0" applyFont="1" applyFill="1" applyAlignment="1">
      <alignment horizontal="center"/>
    </xf>
    <xf numFmtId="0" fontId="2" fillId="4" borderId="4" xfId="0" applyFont="1" applyFill="1" applyBorder="1"/>
    <xf numFmtId="0" fontId="0" fillId="0" borderId="11" xfId="1" applyNumberFormat="1" applyFont="1" applyBorder="1" applyAlignment="1">
      <alignment horizontal="left"/>
    </xf>
    <xf numFmtId="0" fontId="0" fillId="0" borderId="7" xfId="1" applyNumberFormat="1" applyFont="1" applyBorder="1" applyAlignment="1">
      <alignment horizontal="left"/>
    </xf>
    <xf numFmtId="0" fontId="0" fillId="0" borderId="14" xfId="1" applyNumberFormat="1" applyFont="1" applyBorder="1" applyAlignment="1">
      <alignment horizontal="left"/>
    </xf>
    <xf numFmtId="2" fontId="0" fillId="0" borderId="4" xfId="0" applyNumberFormat="1" applyBorder="1" applyAlignment="1">
      <alignment horizontal="left"/>
    </xf>
    <xf numFmtId="2" fontId="0" fillId="0" borderId="5" xfId="0" applyNumberFormat="1" applyBorder="1" applyAlignment="1">
      <alignment horizontal="left"/>
    </xf>
    <xf numFmtId="2" fontId="0" fillId="0" borderId="6" xfId="0" applyNumberFormat="1" applyBorder="1" applyAlignment="1">
      <alignment horizontal="left"/>
    </xf>
    <xf numFmtId="0" fontId="0" fillId="0" borderId="0" xfId="1" applyNumberFormat="1" applyFont="1" applyBorder="1" applyAlignment="1">
      <alignment horizontal="left"/>
    </xf>
    <xf numFmtId="2" fontId="0" fillId="0" borderId="0" xfId="0" applyNumberFormat="1" applyAlignment="1">
      <alignment horizontal="left"/>
    </xf>
    <xf numFmtId="0" fontId="2" fillId="4" borderId="9" xfId="0" applyFont="1" applyFill="1" applyBorder="1" applyAlignment="1">
      <alignment horizontal="right"/>
    </xf>
    <xf numFmtId="0" fontId="2" fillId="4" borderId="18" xfId="0" applyFont="1" applyFill="1" applyBorder="1" applyAlignment="1">
      <alignment horizontal="right"/>
    </xf>
    <xf numFmtId="0" fontId="2" fillId="4" borderId="17" xfId="0" applyFont="1" applyFill="1" applyBorder="1" applyAlignment="1">
      <alignment horizontal="right"/>
    </xf>
    <xf numFmtId="0" fontId="0" fillId="0" borderId="11" xfId="0" applyBorder="1" applyAlignment="1">
      <alignment horizontal="left"/>
    </xf>
    <xf numFmtId="0" fontId="0" fillId="0" borderId="7" xfId="0" applyBorder="1" applyAlignment="1">
      <alignment horizontal="left"/>
    </xf>
    <xf numFmtId="0" fontId="0" fillId="0" borderId="11" xfId="0" applyBorder="1" applyAlignment="1">
      <alignment wrapText="1"/>
    </xf>
    <xf numFmtId="0" fontId="9" fillId="6" borderId="13" xfId="0" applyFont="1" applyFill="1" applyBorder="1"/>
    <xf numFmtId="0" fontId="9" fillId="6" borderId="8" xfId="0" applyFont="1" applyFill="1" applyBorder="1"/>
    <xf numFmtId="0" fontId="13" fillId="0" borderId="3" xfId="0" applyFont="1" applyBorder="1"/>
    <xf numFmtId="0" fontId="0" fillId="3" borderId="0" xfId="0" applyFill="1" applyAlignment="1">
      <alignment horizontal="left" vertical="center"/>
    </xf>
    <xf numFmtId="0" fontId="2" fillId="4" borderId="20" xfId="0" applyFont="1" applyFill="1" applyBorder="1"/>
    <xf numFmtId="0" fontId="2" fillId="4" borderId="21" xfId="0" applyFont="1" applyFill="1" applyBorder="1"/>
    <xf numFmtId="0" fontId="2" fillId="4" borderId="22" xfId="0" applyFont="1" applyFill="1" applyBorder="1"/>
    <xf numFmtId="0" fontId="2" fillId="4" borderId="20" xfId="0" applyFont="1" applyFill="1" applyBorder="1" applyAlignment="1">
      <alignment horizontal="left" vertical="center"/>
    </xf>
    <xf numFmtId="0" fontId="2" fillId="4" borderId="21" xfId="0" applyFont="1" applyFill="1" applyBorder="1" applyAlignment="1">
      <alignment horizontal="left" vertical="center"/>
    </xf>
    <xf numFmtId="0" fontId="2" fillId="4" borderId="22" xfId="0" applyFont="1" applyFill="1" applyBorder="1" applyAlignment="1">
      <alignment horizontal="left" vertical="center"/>
    </xf>
    <xf numFmtId="0" fontId="2" fillId="4" borderId="11" xfId="0" applyFont="1" applyFill="1" applyBorder="1"/>
    <xf numFmtId="0" fontId="2" fillId="4" borderId="7" xfId="0" applyFont="1" applyFill="1" applyBorder="1"/>
    <xf numFmtId="0" fontId="2" fillId="4" borderId="14" xfId="0" applyFont="1" applyFill="1" applyBorder="1"/>
    <xf numFmtId="0" fontId="2" fillId="4" borderId="5" xfId="0" applyFont="1" applyFill="1" applyBorder="1"/>
    <xf numFmtId="0" fontId="2" fillId="4" borderId="6" xfId="0" applyFont="1" applyFill="1" applyBorder="1"/>
    <xf numFmtId="9" fontId="7" fillId="0" borderId="0" xfId="2" applyFont="1" applyProtection="1">
      <protection locked="0"/>
    </xf>
    <xf numFmtId="0" fontId="3" fillId="0" borderId="17" xfId="0" applyFont="1" applyBorder="1" applyProtection="1">
      <protection locked="0"/>
    </xf>
    <xf numFmtId="2" fontId="3" fillId="0" borderId="24" xfId="0" applyNumberFormat="1" applyFont="1" applyBorder="1" applyAlignment="1" applyProtection="1">
      <alignment horizontal="right"/>
      <protection locked="0"/>
    </xf>
    <xf numFmtId="44" fontId="3" fillId="0" borderId="3" xfId="1" applyFont="1" applyBorder="1" applyProtection="1">
      <protection locked="0"/>
    </xf>
    <xf numFmtId="44" fontId="3" fillId="9" borderId="17" xfId="1" applyFont="1" applyFill="1" applyBorder="1" applyProtection="1">
      <protection locked="0"/>
    </xf>
    <xf numFmtId="44" fontId="3" fillId="0" borderId="23" xfId="1" applyFont="1" applyBorder="1" applyProtection="1">
      <protection locked="0"/>
    </xf>
    <xf numFmtId="44" fontId="3" fillId="0" borderId="24" xfId="1" applyFont="1" applyBorder="1" applyProtection="1">
      <protection locked="0"/>
    </xf>
    <xf numFmtId="165" fontId="3" fillId="0" borderId="24" xfId="2" applyNumberFormat="1" applyFont="1" applyBorder="1" applyProtection="1">
      <protection locked="0"/>
    </xf>
    <xf numFmtId="9" fontId="3" fillId="0" borderId="24" xfId="2" applyFont="1" applyBorder="1" applyProtection="1">
      <protection locked="0"/>
    </xf>
    <xf numFmtId="1" fontId="3" fillId="0" borderId="25" xfId="0" applyNumberFormat="1" applyFont="1" applyBorder="1" applyProtection="1">
      <protection locked="0"/>
    </xf>
    <xf numFmtId="2" fontId="3" fillId="0" borderId="24" xfId="0" applyNumberFormat="1" applyFont="1" applyBorder="1" applyProtection="1">
      <protection locked="0"/>
    </xf>
    <xf numFmtId="9" fontId="3" fillId="10" borderId="24" xfId="2" applyFont="1" applyFill="1" applyBorder="1" applyProtection="1">
      <protection locked="0"/>
    </xf>
    <xf numFmtId="165" fontId="3" fillId="0" borderId="25" xfId="2" applyNumberFormat="1" applyFont="1" applyBorder="1" applyProtection="1">
      <protection locked="0"/>
    </xf>
    <xf numFmtId="0" fontId="2" fillId="4" borderId="1" xfId="0" applyFont="1" applyFill="1" applyBorder="1" applyProtection="1">
      <protection locked="0"/>
    </xf>
    <xf numFmtId="164" fontId="0" fillId="0" borderId="0" xfId="1" applyNumberFormat="1" applyFont="1" applyProtection="1">
      <protection locked="0"/>
    </xf>
    <xf numFmtId="0" fontId="2" fillId="4" borderId="2" xfId="0" applyFont="1" applyFill="1" applyBorder="1" applyProtection="1">
      <protection locked="0"/>
    </xf>
    <xf numFmtId="0" fontId="0" fillId="0" borderId="0" xfId="0" applyProtection="1">
      <protection locked="0"/>
    </xf>
    <xf numFmtId="0" fontId="2" fillId="4" borderId="3" xfId="0" applyFont="1" applyFill="1" applyBorder="1" applyAlignment="1" applyProtection="1">
      <alignment horizontal="center"/>
      <protection locked="0"/>
    </xf>
    <xf numFmtId="164" fontId="0" fillId="0" borderId="1" xfId="1" applyNumberFormat="1" applyFont="1" applyBorder="1" applyProtection="1">
      <protection locked="0"/>
    </xf>
    <xf numFmtId="164" fontId="0" fillId="2" borderId="1" xfId="1" applyNumberFormat="1" applyFont="1" applyFill="1" applyBorder="1" applyProtection="1">
      <protection locked="0"/>
    </xf>
    <xf numFmtId="164" fontId="0" fillId="0" borderId="2" xfId="1" applyNumberFormat="1" applyFont="1" applyBorder="1" applyProtection="1">
      <protection locked="0"/>
    </xf>
    <xf numFmtId="0" fontId="0" fillId="0" borderId="2" xfId="0" applyBorder="1" applyProtection="1">
      <protection locked="0"/>
    </xf>
    <xf numFmtId="164" fontId="0" fillId="0" borderId="0" xfId="1" applyNumberFormat="1" applyFont="1" applyBorder="1" applyProtection="1">
      <protection locked="0"/>
    </xf>
    <xf numFmtId="0" fontId="3" fillId="2" borderId="0" xfId="0" applyFont="1" applyFill="1" applyProtection="1">
      <protection locked="0"/>
    </xf>
    <xf numFmtId="10" fontId="12" fillId="0" borderId="0" xfId="2" applyNumberFormat="1" applyFont="1" applyFill="1" applyBorder="1" applyAlignment="1" applyProtection="1">
      <alignment vertical="top" wrapText="1"/>
      <protection locked="0"/>
    </xf>
    <xf numFmtId="0" fontId="6" fillId="0" borderId="0" xfId="0" applyFont="1" applyProtection="1">
      <protection locked="0"/>
    </xf>
    <xf numFmtId="10" fontId="3" fillId="0" borderId="0" xfId="2" applyNumberFormat="1" applyFont="1" applyFill="1" applyBorder="1"/>
    <xf numFmtId="0" fontId="10" fillId="0" borderId="0" xfId="0" applyFont="1" applyAlignment="1">
      <alignment vertical="top" wrapText="1"/>
    </xf>
    <xf numFmtId="164" fontId="8" fillId="0" borderId="0" xfId="1" applyNumberFormat="1" applyFont="1" applyBorder="1" applyAlignment="1" applyProtection="1">
      <protection locked="0"/>
    </xf>
    <xf numFmtId="164" fontId="0" fillId="0" borderId="1" xfId="1" applyNumberFormat="1" applyFont="1" applyBorder="1" applyProtection="1"/>
    <xf numFmtId="164" fontId="0" fillId="0" borderId="2" xfId="1" applyNumberFormat="1" applyFont="1" applyBorder="1" applyProtection="1"/>
    <xf numFmtId="164" fontId="0" fillId="0" borderId="0" xfId="1" applyNumberFormat="1" applyFont="1" applyBorder="1" applyProtection="1"/>
    <xf numFmtId="0" fontId="15" fillId="0" borderId="0" xfId="0" applyFont="1"/>
    <xf numFmtId="0" fontId="2" fillId="0" borderId="14" xfId="0" applyFont="1" applyBorder="1"/>
    <xf numFmtId="0" fontId="16" fillId="0" borderId="6" xfId="0" applyFont="1" applyBorder="1"/>
    <xf numFmtId="0" fontId="2" fillId="4" borderId="9" xfId="0" applyFont="1" applyFill="1" applyBorder="1" applyAlignment="1">
      <alignment horizontal="center"/>
    </xf>
    <xf numFmtId="0" fontId="2" fillId="4" borderId="18" xfId="0" applyFont="1" applyFill="1" applyBorder="1" applyAlignment="1">
      <alignment horizontal="center"/>
    </xf>
    <xf numFmtId="0" fontId="2" fillId="4" borderId="17" xfId="0" applyFont="1" applyFill="1" applyBorder="1" applyAlignment="1">
      <alignment horizontal="center"/>
    </xf>
    <xf numFmtId="0" fontId="0" fillId="0" borderId="11" xfId="0" applyBorder="1" applyAlignment="1">
      <alignment horizontal="left" wrapText="1"/>
    </xf>
    <xf numFmtId="0" fontId="0" fillId="0" borderId="12" xfId="0" applyBorder="1" applyAlignment="1">
      <alignment horizontal="left" wrapText="1"/>
    </xf>
    <xf numFmtId="0" fontId="0" fillId="0" borderId="13" xfId="0" applyBorder="1" applyAlignment="1">
      <alignment horizontal="left" wrapText="1"/>
    </xf>
    <xf numFmtId="0" fontId="0" fillId="0" borderId="7" xfId="0" applyBorder="1" applyAlignment="1">
      <alignment horizontal="left" wrapText="1"/>
    </xf>
    <xf numFmtId="0" fontId="0" fillId="0" borderId="0" xfId="0" applyAlignment="1">
      <alignment horizontal="left" wrapText="1"/>
    </xf>
    <xf numFmtId="0" fontId="0" fillId="0" borderId="8" xfId="0" applyBorder="1" applyAlignment="1">
      <alignment horizontal="left" wrapText="1"/>
    </xf>
    <xf numFmtId="0" fontId="0" fillId="0" borderId="14" xfId="0" applyBorder="1" applyAlignment="1">
      <alignment horizontal="left" wrapText="1"/>
    </xf>
    <xf numFmtId="0" fontId="0" fillId="0" borderId="15" xfId="0" applyBorder="1" applyAlignment="1">
      <alignment horizontal="left" wrapText="1"/>
    </xf>
    <xf numFmtId="0" fontId="0" fillId="0" borderId="16" xfId="0" applyBorder="1" applyAlignment="1">
      <alignment horizontal="left" wrapText="1"/>
    </xf>
    <xf numFmtId="0" fontId="0" fillId="0" borderId="11" xfId="0" applyBorder="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0" fontId="0" fillId="0" borderId="7" xfId="0" applyBorder="1" applyAlignment="1">
      <alignment horizontal="left" vertical="top"/>
    </xf>
    <xf numFmtId="0" fontId="0" fillId="0" borderId="0" xfId="0" applyAlignment="1">
      <alignment horizontal="left" vertical="top"/>
    </xf>
    <xf numFmtId="0" fontId="0" fillId="0" borderId="8"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0" fillId="0" borderId="16" xfId="0" applyBorder="1" applyAlignment="1">
      <alignment horizontal="left" vertical="top"/>
    </xf>
    <xf numFmtId="0" fontId="0" fillId="0" borderId="11" xfId="0"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3" fillId="5" borderId="9" xfId="0" applyFont="1" applyFill="1" applyBorder="1" applyAlignment="1">
      <alignment horizontal="center"/>
    </xf>
    <xf numFmtId="0" fontId="3" fillId="5" borderId="17" xfId="0" applyFont="1" applyFill="1" applyBorder="1" applyAlignment="1">
      <alignment horizontal="center"/>
    </xf>
    <xf numFmtId="0" fontId="8" fillId="0" borderId="0" xfId="3" applyAlignment="1">
      <alignment horizontal="right"/>
    </xf>
    <xf numFmtId="0" fontId="0" fillId="5" borderId="17" xfId="0" applyFill="1" applyBorder="1" applyAlignment="1">
      <alignment horizontal="center"/>
    </xf>
    <xf numFmtId="0" fontId="8" fillId="0" borderId="0" xfId="3" applyAlignment="1">
      <alignment horizontal="left"/>
    </xf>
    <xf numFmtId="0" fontId="8" fillId="0" borderId="0" xfId="3" applyBorder="1" applyAlignment="1">
      <alignment horizontal="left"/>
    </xf>
    <xf numFmtId="0" fontId="12" fillId="7" borderId="0" xfId="0" applyFont="1" applyFill="1" applyAlignment="1">
      <alignment horizontal="left" vertical="top" wrapText="1"/>
    </xf>
    <xf numFmtId="0" fontId="5" fillId="0" borderId="0" xfId="0" applyFont="1" applyAlignment="1">
      <alignment horizontal="center"/>
    </xf>
    <xf numFmtId="0" fontId="0" fillId="0" borderId="0" xfId="0" applyAlignment="1">
      <alignment horizontal="center"/>
    </xf>
    <xf numFmtId="0" fontId="6" fillId="0" borderId="0" xfId="0" applyFont="1" applyAlignment="1">
      <alignment horizontal="center"/>
    </xf>
    <xf numFmtId="0" fontId="8" fillId="0" borderId="19" xfId="3" applyBorder="1" applyAlignment="1">
      <alignment horizontal="left"/>
    </xf>
    <xf numFmtId="0" fontId="14" fillId="4" borderId="9" xfId="0" applyFont="1" applyFill="1" applyBorder="1" applyAlignment="1">
      <alignment horizontal="center"/>
    </xf>
    <xf numFmtId="0" fontId="14" fillId="4" borderId="17" xfId="0" applyFont="1" applyFill="1" applyBorder="1" applyAlignment="1">
      <alignment horizontal="center"/>
    </xf>
    <xf numFmtId="0" fontId="12" fillId="9" borderId="9" xfId="0" applyFont="1" applyFill="1" applyBorder="1" applyAlignment="1">
      <alignment horizontal="center"/>
    </xf>
    <xf numFmtId="0" fontId="12" fillId="9" borderId="18" xfId="0" applyFont="1" applyFill="1" applyBorder="1" applyAlignment="1">
      <alignment horizontal="center"/>
    </xf>
    <xf numFmtId="0" fontId="12" fillId="9" borderId="17" xfId="0" applyFont="1" applyFill="1" applyBorder="1" applyAlignment="1">
      <alignment horizontal="center"/>
    </xf>
    <xf numFmtId="0" fontId="2" fillId="4" borderId="14" xfId="0" applyFont="1" applyFill="1" applyBorder="1" applyAlignment="1">
      <alignment horizontal="center"/>
    </xf>
    <xf numFmtId="0" fontId="2" fillId="4" borderId="15" xfId="0" applyFont="1" applyFill="1" applyBorder="1" applyAlignment="1">
      <alignment horizontal="center"/>
    </xf>
  </cellXfs>
  <cellStyles count="4">
    <cellStyle name="Currency" xfId="1" builtinId="4"/>
    <cellStyle name="Hyperlink" xfId="3" builtinId="8"/>
    <cellStyle name="Normal" xfId="0" builtinId="0"/>
    <cellStyle name="Per cent" xfId="2" builtinId="5"/>
  </cellStyles>
  <dxfs count="35">
    <dxf>
      <font>
        <color theme="9" tint="-0.499984740745262"/>
      </font>
      <fill>
        <patternFill>
          <bgColor theme="0"/>
        </patternFill>
      </fill>
    </dxf>
    <dxf>
      <font>
        <color rgb="FFC00000"/>
      </font>
    </dxf>
    <dxf>
      <fill>
        <patternFill>
          <bgColor theme="2" tint="-9.9948118533890809E-2"/>
        </patternFill>
      </fill>
    </dxf>
    <dxf>
      <fill>
        <patternFill>
          <bgColor theme="2" tint="-9.9948118533890809E-2"/>
        </patternFill>
      </fill>
    </dxf>
    <dxf>
      <font>
        <b/>
        <i val="0"/>
        <color theme="0"/>
      </font>
      <fill>
        <patternFill>
          <bgColor theme="4" tint="-0.499984740745262"/>
        </patternFill>
      </fill>
    </dxf>
    <dxf>
      <font>
        <b/>
        <i val="0"/>
      </font>
      <fill>
        <patternFill>
          <bgColor theme="7" tint="-0.24994659260841701"/>
        </patternFill>
      </fill>
    </dxf>
    <dxf>
      <font>
        <b/>
        <i val="0"/>
      </font>
      <fill>
        <patternFill>
          <bgColor theme="6" tint="0.39994506668294322"/>
        </patternFill>
      </fill>
    </dxf>
    <dxf>
      <font>
        <b/>
        <i val="0"/>
      </font>
      <fill>
        <patternFill>
          <bgColor rgb="FFAD8A56"/>
        </patternFill>
      </fill>
    </dxf>
    <dxf>
      <font>
        <b/>
        <i val="0"/>
        <color theme="0"/>
      </font>
      <fill>
        <patternFill>
          <bgColor theme="4" tint="-0.499984740745262"/>
        </patternFill>
      </fill>
    </dxf>
    <dxf>
      <font>
        <b/>
        <i val="0"/>
        <color theme="0"/>
      </font>
      <fill>
        <patternFill>
          <bgColor rgb="FF002060"/>
        </patternFill>
      </fill>
    </dxf>
    <dxf>
      <font>
        <b/>
        <i val="0"/>
      </font>
      <fill>
        <patternFill>
          <bgColor theme="7" tint="-0.24994659260841701"/>
        </patternFill>
      </fill>
    </dxf>
    <dxf>
      <font>
        <b/>
        <i val="0"/>
      </font>
      <fill>
        <patternFill>
          <bgColor theme="6" tint="0.39994506668294322"/>
        </patternFill>
      </fill>
    </dxf>
    <dxf>
      <font>
        <b/>
        <i val="0"/>
      </font>
      <fill>
        <patternFill>
          <bgColor rgb="FFAD8A56"/>
        </patternFill>
      </fill>
    </dxf>
    <dxf>
      <font>
        <b/>
        <i val="0"/>
      </font>
      <fill>
        <patternFill>
          <bgColor theme="7" tint="-0.24994659260841701"/>
        </patternFill>
      </fill>
    </dxf>
    <dxf>
      <font>
        <b/>
        <i val="0"/>
      </font>
      <fill>
        <patternFill>
          <bgColor theme="6" tint="0.39994506668294322"/>
        </patternFill>
      </fill>
    </dxf>
    <dxf>
      <font>
        <b/>
        <i val="0"/>
      </font>
      <fill>
        <patternFill>
          <bgColor rgb="FFAD8A56"/>
        </patternFill>
      </fill>
    </dxf>
    <dxf>
      <font>
        <b/>
        <i val="0"/>
        <color theme="0"/>
      </font>
      <fill>
        <patternFill>
          <bgColor theme="4" tint="-0.499984740745262"/>
        </patternFill>
      </fill>
    </dxf>
    <dxf>
      <font>
        <b/>
        <i val="0"/>
      </font>
      <fill>
        <patternFill>
          <bgColor theme="7" tint="-0.24994659260841701"/>
        </patternFill>
      </fill>
    </dxf>
    <dxf>
      <font>
        <b/>
        <i val="0"/>
      </font>
      <fill>
        <patternFill>
          <bgColor theme="6" tint="0.59996337778862885"/>
        </patternFill>
      </fill>
    </dxf>
    <dxf>
      <font>
        <b/>
        <i val="0"/>
      </font>
      <fill>
        <patternFill>
          <bgColor rgb="FFAD8A56"/>
        </patternFill>
      </fill>
    </dxf>
    <dxf>
      <fill>
        <patternFill>
          <bgColor theme="4" tint="0.79998168889431442"/>
        </patternFill>
      </fill>
    </dxf>
    <dxf>
      <fill>
        <patternFill>
          <bgColor theme="4" tint="0.79998168889431442"/>
        </patternFill>
      </fill>
    </dxf>
    <dxf>
      <font>
        <b/>
        <i val="0"/>
        <color theme="0"/>
      </font>
      <fill>
        <patternFill>
          <bgColor theme="4" tint="-0.499984740745262"/>
        </patternFill>
      </fill>
    </dxf>
    <dxf>
      <font>
        <color theme="9" tint="-0.24994659260841701"/>
      </font>
      <fill>
        <patternFill patternType="none">
          <bgColor auto="1"/>
        </patternFill>
      </fill>
    </dxf>
    <dxf>
      <font>
        <color rgb="FFC00000"/>
      </font>
    </dxf>
    <dxf>
      <font>
        <b/>
        <i val="0"/>
      </font>
      <fill>
        <patternFill>
          <bgColor theme="7" tint="-0.24994659260841701"/>
        </patternFill>
      </fill>
    </dxf>
    <dxf>
      <font>
        <b/>
        <i val="0"/>
      </font>
      <fill>
        <patternFill>
          <bgColor theme="6" tint="0.59996337778862885"/>
        </patternFill>
      </fill>
    </dxf>
    <dxf>
      <font>
        <b/>
        <i val="0"/>
      </font>
      <fill>
        <patternFill>
          <bgColor rgb="FFAD8A56"/>
        </patternFill>
      </fill>
    </dxf>
    <dxf>
      <font>
        <b/>
        <i val="0"/>
      </font>
      <fill>
        <patternFill>
          <bgColor theme="7" tint="-0.24994659260841701"/>
        </patternFill>
      </fill>
    </dxf>
    <dxf>
      <font>
        <b/>
        <i val="0"/>
        <color theme="0"/>
      </font>
      <fill>
        <patternFill>
          <bgColor theme="4" tint="-0.499984740745262"/>
        </patternFill>
      </fill>
    </dxf>
    <dxf>
      <font>
        <color theme="9" tint="-0.24994659260841701"/>
      </font>
    </dxf>
    <dxf>
      <font>
        <color rgb="FFC00000"/>
      </font>
    </dxf>
    <dxf>
      <font>
        <b/>
        <i val="0"/>
        <color theme="0"/>
      </font>
      <fill>
        <patternFill>
          <bgColor theme="4" tint="-0.499984740745262"/>
        </patternFill>
      </fill>
    </dxf>
    <dxf>
      <font>
        <color theme="9" tint="-0.24994659260841701"/>
      </font>
    </dxf>
    <dxf>
      <font>
        <color rgb="FFC00000"/>
      </font>
    </dxf>
  </dxfs>
  <tableStyles count="0" defaultTableStyle="TableStyleMedium2" defaultPivotStyle="PivotStyleLight16"/>
  <colors>
    <mruColors>
      <color rgb="FFAD8A56"/>
      <color rgb="FF614E1A"/>
      <color rgb="FFEB7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fr-FR"/>
              <a:t>NPV Comparation between 2 Project with different RRR</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fr-FR"/>
        </a:p>
      </c:txPr>
    </c:title>
    <c:autoTitleDeleted val="0"/>
    <c:plotArea>
      <c:layout/>
      <c:lineChart>
        <c:grouping val="standard"/>
        <c:varyColors val="0"/>
        <c:ser>
          <c:idx val="0"/>
          <c:order val="0"/>
          <c:tx>
            <c:strRef>
              <c:f>'DATA EX1'!$B$2</c:f>
              <c:strCache>
                <c:ptCount val="1"/>
                <c:pt idx="0">
                  <c:v>Project RI</c:v>
                </c:pt>
              </c:strCache>
            </c:strRef>
          </c:tx>
          <c:spPr>
            <a:ln w="22225" cap="rnd" cmpd="sng" algn="ctr">
              <a:solidFill>
                <a:schemeClr val="accent1"/>
              </a:solidFill>
              <a:round/>
            </a:ln>
            <a:effectLst/>
          </c:spPr>
          <c:marker>
            <c:symbol val="none"/>
          </c:marker>
          <c:cat>
            <c:numRef>
              <c:f>'DATA EX1'!$A$3:$A$43</c:f>
              <c:numCache>
                <c:formatCode>0%</c:formatCode>
                <c:ptCount val="41"/>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numCache>
            </c:numRef>
          </c:cat>
          <c:val>
            <c:numRef>
              <c:f>'DATA EX1'!$B$3:$B$32</c:f>
              <c:numCache>
                <c:formatCode>"€"#,##0_);[Red]\("€"#,##0\)</c:formatCode>
                <c:ptCount val="30"/>
                <c:pt idx="0">
                  <c:v>30000</c:v>
                </c:pt>
                <c:pt idx="1">
                  <c:v>24184.349837718386</c:v>
                </c:pt>
                <c:pt idx="2">
                  <c:v>18808.435068664592</c:v>
                </c:pt>
                <c:pt idx="3">
                  <c:v>13832.23120453411</c:v>
                </c:pt>
                <c:pt idx="4">
                  <c:v>9219.8535729052965</c:v>
                </c:pt>
                <c:pt idx="5">
                  <c:v>4939.0842210329283</c:v>
                </c:pt>
                <c:pt idx="6">
                  <c:v>960.95756556166452</c:v>
                </c:pt>
                <c:pt idx="7">
                  <c:v>-2740.6030497413885</c:v>
                </c:pt>
                <c:pt idx="8">
                  <c:v>-6189.1046116441285</c:v>
                </c:pt>
                <c:pt idx="9">
                  <c:v>-9405.7652872509352</c:v>
                </c:pt>
                <c:pt idx="10">
                  <c:v>-12409.761837248516</c:v>
                </c:pt>
                <c:pt idx="11">
                  <c:v>-15218.447877446728</c:v>
                </c:pt>
                <c:pt idx="12">
                  <c:v>-17847.546687480506</c:v>
                </c:pt>
                <c:pt idx="13">
                  <c:v>-20311.321764518267</c:v>
                </c:pt>
                <c:pt idx="14">
                  <c:v>-22622.727890770628</c:v>
                </c:pt>
                <c:pt idx="15">
                  <c:v>-24793.545115603461</c:v>
                </c:pt>
                <c:pt idx="16">
                  <c:v>-26834.497736967794</c:v>
                </c:pt>
                <c:pt idx="17">
                  <c:v>-28755.360094931435</c:v>
                </c:pt>
                <c:pt idx="18">
                  <c:v>-30565.050755831464</c:v>
                </c:pt>
                <c:pt idx="19">
                  <c:v>-32271.71646344418</c:v>
                </c:pt>
                <c:pt idx="20">
                  <c:v>-33882.807058941515</c:v>
                </c:pt>
                <c:pt idx="21">
                  <c:v>-35405.142420312281</c:v>
                </c:pt>
                <c:pt idx="22">
                  <c:v>-36844.972341026856</c:v>
                </c:pt>
                <c:pt idx="23">
                  <c:v>-38208.030154159227</c:v>
                </c:pt>
                <c:pt idx="24">
                  <c:v>-39499.580809527411</c:v>
                </c:pt>
                <c:pt idx="25">
                  <c:v>-40724.464025599998</c:v>
                </c:pt>
                <c:pt idx="26">
                  <c:v>-41887.133063176632</c:v>
                </c:pt>
                <c:pt idx="27">
                  <c:v>-42991.689602672661</c:v>
                </c:pt>
                <c:pt idx="28">
                  <c:v>-44041.915149927612</c:v>
                </c:pt>
                <c:pt idx="29">
                  <c:v>-45041.299345704705</c:v>
                </c:pt>
              </c:numCache>
            </c:numRef>
          </c:val>
          <c:smooth val="0"/>
          <c:extLst>
            <c:ext xmlns:c16="http://schemas.microsoft.com/office/drawing/2014/chart" uri="{C3380CC4-5D6E-409C-BE32-E72D297353CC}">
              <c16:uniqueId val="{00000000-2870-42E3-9995-6B63D2C75388}"/>
            </c:ext>
          </c:extLst>
        </c:ser>
        <c:ser>
          <c:idx val="1"/>
          <c:order val="1"/>
          <c:tx>
            <c:strRef>
              <c:f>'DATA EX1'!$C$2</c:f>
              <c:strCache>
                <c:ptCount val="1"/>
                <c:pt idx="0">
                  <c:v>Project Y</c:v>
                </c:pt>
              </c:strCache>
            </c:strRef>
          </c:tx>
          <c:spPr>
            <a:ln w="22225" cap="rnd" cmpd="sng" algn="ctr">
              <a:solidFill>
                <a:schemeClr val="accent2"/>
              </a:solidFill>
              <a:round/>
            </a:ln>
            <a:effectLst/>
          </c:spPr>
          <c:marker>
            <c:symbol val="none"/>
          </c:marker>
          <c:cat>
            <c:numRef>
              <c:f>'DATA EX1'!$A$3:$A$43</c:f>
              <c:numCache>
                <c:formatCode>0%</c:formatCode>
                <c:ptCount val="41"/>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numCache>
            </c:numRef>
          </c:cat>
          <c:val>
            <c:numRef>
              <c:f>'DATA EX1'!$C$3:$C$32</c:f>
              <c:numCache>
                <c:formatCode>"€"#,##0_);[Red]\("€"#,##0\)</c:formatCode>
                <c:ptCount val="30"/>
                <c:pt idx="0">
                  <c:v>5000</c:v>
                </c:pt>
                <c:pt idx="1">
                  <c:v>4129.1943794219405</c:v>
                </c:pt>
                <c:pt idx="2">
                  <c:v>3313.7036012360586</c:v>
                </c:pt>
                <c:pt idx="3">
                  <c:v>2549.2304738386956</c:v>
                </c:pt>
                <c:pt idx="4">
                  <c:v>1831.8621873759948</c:v>
                </c:pt>
                <c:pt idx="5">
                  <c:v>1158.0318985656359</c:v>
                </c:pt>
                <c:pt idx="6">
                  <c:v>524.48452742387781</c:v>
                </c:pt>
                <c:pt idx="7">
                  <c:v>-71.753734465663001</c:v>
                </c:pt>
                <c:pt idx="8">
                  <c:v>-633.4026406867506</c:v>
                </c:pt>
                <c:pt idx="9">
                  <c:v>-1162.9522131324575</c:v>
                </c:pt>
                <c:pt idx="10">
                  <c:v>-1662.6845052433418</c:v>
                </c:pt>
                <c:pt idx="11">
                  <c:v>-2134.6930976822987</c:v>
                </c:pt>
                <c:pt idx="12">
                  <c:v>-2580.9005829035304</c:v>
                </c:pt>
                <c:pt idx="13">
                  <c:v>-3003.0742638894044</c:v>
                </c:pt>
                <c:pt idx="14">
                  <c:v>-3402.8402651921606</c:v>
                </c:pt>
                <c:pt idx="15">
                  <c:v>-3781.6962307694539</c:v>
                </c:pt>
                <c:pt idx="16">
                  <c:v>-4141.0227624690615</c:v>
                </c:pt>
                <c:pt idx="17">
                  <c:v>-4482.0937349890137</c:v>
                </c:pt>
                <c:pt idx="18">
                  <c:v>-4806.0856073681189</c:v>
                </c:pt>
                <c:pt idx="19">
                  <c:v>-5114.0858372462062</c:v>
                </c:pt>
                <c:pt idx="20">
                  <c:v>-5407.1004920172218</c:v>
                </c:pt>
                <c:pt idx="21">
                  <c:v>-5686.0611403589137</c:v>
                </c:pt>
                <c:pt idx="22">
                  <c:v>-5951.8310982691783</c:v>
                </c:pt>
                <c:pt idx="23">
                  <c:v>-6205.2110955062471</c:v>
                </c:pt>
                <c:pt idx="24">
                  <c:v>-6446.9444210748534</c:v>
                </c:pt>
                <c:pt idx="25">
                  <c:v>-6677.7215999999989</c:v>
                </c:pt>
                <c:pt idx="26">
                  <c:v>-6898.1846479770938</c:v>
                </c:pt>
                <c:pt idx="27">
                  <c:v>-7108.9309454888025</c:v>
                </c:pt>
                <c:pt idx="28">
                  <c:v>-7310.5167685548622</c:v>
                </c:pt>
                <c:pt idx="29">
                  <c:v>-7503.4605093607242</c:v>
                </c:pt>
              </c:numCache>
            </c:numRef>
          </c:val>
          <c:smooth val="0"/>
          <c:extLst>
            <c:ext xmlns:c16="http://schemas.microsoft.com/office/drawing/2014/chart" uri="{C3380CC4-5D6E-409C-BE32-E72D297353CC}">
              <c16:uniqueId val="{00000001-2870-42E3-9995-6B63D2C75388}"/>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147710223"/>
        <c:axId val="1972430463"/>
      </c:lineChart>
      <c:catAx>
        <c:axId val="147710223"/>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fr-FR"/>
                  <a:t>Discount Rate</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fr-FR"/>
          </a:p>
        </c:txPr>
        <c:crossAx val="1972430463"/>
        <c:crosses val="autoZero"/>
        <c:auto val="1"/>
        <c:lblAlgn val="ctr"/>
        <c:lblOffset val="100"/>
        <c:noMultiLvlLbl val="0"/>
      </c:catAx>
      <c:valAx>
        <c:axId val="1972430463"/>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fr-FR"/>
                  <a:t>NPV</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fr-FR"/>
            </a:p>
          </c:txPr>
        </c:title>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fr-FR"/>
          </a:p>
        </c:txPr>
        <c:crossAx val="147710223"/>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517525</xdr:colOff>
      <xdr:row>0</xdr:row>
      <xdr:rowOff>158750</xdr:rowOff>
    </xdr:from>
    <xdr:to>
      <xdr:col>5</xdr:col>
      <xdr:colOff>139700</xdr:colOff>
      <xdr:row>2</xdr:row>
      <xdr:rowOff>41275</xdr:rowOff>
    </xdr:to>
    <xdr:sp macro="[0]!macroooo" textlink="">
      <xdr:nvSpPr>
        <xdr:cNvPr id="2" name="Rectangle: Rounded Corners 1">
          <a:extLst>
            <a:ext uri="{FF2B5EF4-FFF2-40B4-BE49-F238E27FC236}">
              <a16:creationId xmlns:a16="http://schemas.microsoft.com/office/drawing/2014/main" id="{38C53839-6F6F-5E33-BCA7-8656DF356917}"/>
            </a:ext>
          </a:extLst>
        </xdr:cNvPr>
        <xdr:cNvSpPr/>
      </xdr:nvSpPr>
      <xdr:spPr>
        <a:xfrm>
          <a:off x="3063875" y="158750"/>
          <a:ext cx="1527175" cy="288925"/>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200" b="1">
              <a:solidFill>
                <a:schemeClr val="tx1"/>
              </a:solidFill>
            </a:rPr>
            <a:t>Start A</a:t>
          </a:r>
          <a:r>
            <a:rPr lang="fr-FR" sz="1200" b="1" baseline="0">
              <a:solidFill>
                <a:schemeClr val="tx1"/>
              </a:solidFill>
            </a:rPr>
            <a:t> New Project</a:t>
          </a:r>
          <a:endParaRPr lang="fr-FR" sz="1200" b="1">
            <a:solidFill>
              <a:schemeClr val="tx1"/>
            </a:solidFill>
          </a:endParaRPr>
        </a:p>
      </xdr:txBody>
    </xdr:sp>
    <xdr:clientData fLocksWithSheet="0"/>
  </xdr:twoCellAnchor>
  <xdr:twoCellAnchor>
    <xdr:from>
      <xdr:col>5</xdr:col>
      <xdr:colOff>501650</xdr:colOff>
      <xdr:row>0</xdr:row>
      <xdr:rowOff>158750</xdr:rowOff>
    </xdr:from>
    <xdr:to>
      <xdr:col>7</xdr:col>
      <xdr:colOff>133350</xdr:colOff>
      <xdr:row>2</xdr:row>
      <xdr:rowOff>41275</xdr:rowOff>
    </xdr:to>
    <xdr:sp macro="[0]!Cleear" textlink="">
      <xdr:nvSpPr>
        <xdr:cNvPr id="3" name="Rectangle: Rounded Corners 2">
          <a:extLst>
            <a:ext uri="{FF2B5EF4-FFF2-40B4-BE49-F238E27FC236}">
              <a16:creationId xmlns:a16="http://schemas.microsoft.com/office/drawing/2014/main" id="{BCF6B514-CA86-4729-AAC7-78ADE33FCFF9}"/>
            </a:ext>
          </a:extLst>
        </xdr:cNvPr>
        <xdr:cNvSpPr/>
      </xdr:nvSpPr>
      <xdr:spPr>
        <a:xfrm>
          <a:off x="4953000" y="158750"/>
          <a:ext cx="1536700" cy="288925"/>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200" b="1">
              <a:solidFill>
                <a:schemeClr val="tx1"/>
              </a:solidFill>
            </a:rPr>
            <a:t>Delete</a:t>
          </a:r>
          <a:r>
            <a:rPr lang="fr-FR" sz="1200" b="1" baseline="0">
              <a:solidFill>
                <a:schemeClr val="tx1"/>
              </a:solidFill>
            </a:rPr>
            <a:t> A Project</a:t>
          </a:r>
          <a:endParaRPr lang="fr-FR" sz="1200" b="1">
            <a:solidFill>
              <a:schemeClr val="tx1"/>
            </a:solidFill>
          </a:endParaRPr>
        </a:p>
      </xdr:txBody>
    </xdr:sp>
    <xdr:clientData fLocksWithSheet="0"/>
  </xdr:twoCellAnchor>
</xdr:wsDr>
</file>

<file path=xl/drawings/drawing2.xml><?xml version="1.0" encoding="utf-8"?>
<xdr:wsDr xmlns:xdr="http://schemas.openxmlformats.org/drawingml/2006/spreadsheetDrawing" xmlns:a="http://schemas.openxmlformats.org/drawingml/2006/main">
  <xdr:twoCellAnchor>
    <xdr:from>
      <xdr:col>9</xdr:col>
      <xdr:colOff>408085</xdr:colOff>
      <xdr:row>0</xdr:row>
      <xdr:rowOff>162434</xdr:rowOff>
    </xdr:from>
    <xdr:to>
      <xdr:col>12</xdr:col>
      <xdr:colOff>70555</xdr:colOff>
      <xdr:row>2</xdr:row>
      <xdr:rowOff>39198</xdr:rowOff>
    </xdr:to>
    <xdr:sp macro="[0]!Graphee" textlink="">
      <xdr:nvSpPr>
        <xdr:cNvPr id="4" name="Rectangle: Rounded Corners 3">
          <a:extLst>
            <a:ext uri="{FF2B5EF4-FFF2-40B4-BE49-F238E27FC236}">
              <a16:creationId xmlns:a16="http://schemas.microsoft.com/office/drawing/2014/main" id="{2716C1AF-4567-68A2-2BE7-BFE5D7DF0DE1}"/>
            </a:ext>
          </a:extLst>
        </xdr:cNvPr>
        <xdr:cNvSpPr/>
      </xdr:nvSpPr>
      <xdr:spPr>
        <a:xfrm>
          <a:off x="9094258" y="162434"/>
          <a:ext cx="1496914" cy="284418"/>
        </a:xfrm>
        <a:prstGeom prst="roundRect">
          <a:avLst/>
        </a:prstGeom>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100" b="1">
              <a:solidFill>
                <a:schemeClr val="tx1"/>
              </a:solidFill>
            </a:rPr>
            <a:t>Compare 2 Projects</a:t>
          </a:r>
        </a:p>
      </xdr:txBody>
    </xdr:sp>
    <xdr:clientData fLocksWithSheet="0"/>
  </xdr:twoCellAnchor>
  <xdr:twoCellAnchor>
    <xdr:from>
      <xdr:col>7</xdr:col>
      <xdr:colOff>4979</xdr:colOff>
      <xdr:row>3</xdr:row>
      <xdr:rowOff>87921</xdr:rowOff>
    </xdr:from>
    <xdr:to>
      <xdr:col>14</xdr:col>
      <xdr:colOff>222681</xdr:colOff>
      <xdr:row>16</xdr:row>
      <xdr:rowOff>73731</xdr:rowOff>
    </xdr:to>
    <xdr:graphicFrame macro="">
      <xdr:nvGraphicFramePr>
        <xdr:cNvPr id="5" name="Chart 4">
          <a:extLst>
            <a:ext uri="{FF2B5EF4-FFF2-40B4-BE49-F238E27FC236}">
              <a16:creationId xmlns:a16="http://schemas.microsoft.com/office/drawing/2014/main" id="{3749545C-4D11-0FD6-661D-3FE39F1372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449146</xdr:colOff>
      <xdr:row>7</xdr:row>
      <xdr:rowOff>3175</xdr:rowOff>
    </xdr:from>
    <xdr:to>
      <xdr:col>14</xdr:col>
      <xdr:colOff>312931</xdr:colOff>
      <xdr:row>9</xdr:row>
      <xdr:rowOff>134822</xdr:rowOff>
    </xdr:to>
    <xdr:sp macro="[0]!MonteCarlo" textlink="">
      <xdr:nvSpPr>
        <xdr:cNvPr id="2" name="Rectangle: Rounded Corners 1">
          <a:extLst>
            <a:ext uri="{FF2B5EF4-FFF2-40B4-BE49-F238E27FC236}">
              <a16:creationId xmlns:a16="http://schemas.microsoft.com/office/drawing/2014/main" id="{6B8850A1-9560-38FD-6692-B3C21B3CCF9C}"/>
            </a:ext>
          </a:extLst>
        </xdr:cNvPr>
        <xdr:cNvSpPr/>
      </xdr:nvSpPr>
      <xdr:spPr>
        <a:xfrm>
          <a:off x="11894634" y="1404821"/>
          <a:ext cx="1273175" cy="518842"/>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100" b="1">
              <a:solidFill>
                <a:schemeClr val="tx1"/>
              </a:solidFill>
            </a:rPr>
            <a:t>Run Simulation</a:t>
          </a:r>
        </a:p>
      </xdr:txBody>
    </xdr:sp>
    <xdr:clientData fLocksWithSheet="0"/>
  </xdr:twoCellAnchor>
  <xdr:twoCellAnchor>
    <xdr:from>
      <xdr:col>5</xdr:col>
      <xdr:colOff>317500</xdr:colOff>
      <xdr:row>7</xdr:row>
      <xdr:rowOff>1</xdr:rowOff>
    </xdr:from>
    <xdr:to>
      <xdr:col>7</xdr:col>
      <xdr:colOff>359394</xdr:colOff>
      <xdr:row>9</xdr:row>
      <xdr:rowOff>134823</xdr:rowOff>
    </xdr:to>
    <xdr:sp macro="[0]!IpmliedVolatility" textlink="">
      <xdr:nvSpPr>
        <xdr:cNvPr id="4" name="Rectangle: Rounded Corners 3">
          <a:extLst>
            <a:ext uri="{FF2B5EF4-FFF2-40B4-BE49-F238E27FC236}">
              <a16:creationId xmlns:a16="http://schemas.microsoft.com/office/drawing/2014/main" id="{BC59D92F-D1B6-4B37-958B-86ED5B067C52}"/>
            </a:ext>
          </a:extLst>
        </xdr:cNvPr>
        <xdr:cNvSpPr/>
      </xdr:nvSpPr>
      <xdr:spPr>
        <a:xfrm>
          <a:off x="5482683" y="1401647"/>
          <a:ext cx="1265431" cy="522017"/>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100" b="1">
              <a:solidFill>
                <a:schemeClr val="tx1"/>
              </a:solidFill>
            </a:rPr>
            <a:t>Calculate</a:t>
          </a:r>
          <a:r>
            <a:rPr lang="fr-FR" sz="1100" b="1" baseline="0">
              <a:solidFill>
                <a:schemeClr val="tx1"/>
              </a:solidFill>
            </a:rPr>
            <a:t> Implied Volatility</a:t>
          </a:r>
          <a:endParaRPr lang="fr-FR" sz="1100" b="1">
            <a:solidFill>
              <a:schemeClr val="tx1"/>
            </a:solidFill>
          </a:endParaRPr>
        </a:p>
      </xdr:txBody>
    </xdr:sp>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7D812-01A0-49D8-A184-D51FDA839CDC}">
  <sheetPr codeName="Sheet2"/>
  <dimension ref="A1:R69"/>
  <sheetViews>
    <sheetView showGridLines="0" tabSelected="1" workbookViewId="0">
      <selection activeCell="D4" sqref="D4"/>
    </sheetView>
  </sheetViews>
  <sheetFormatPr defaultRowHeight="14.5" x14ac:dyDescent="0.35"/>
  <cols>
    <col min="1" max="1" width="19.1796875" bestFit="1" customWidth="1"/>
  </cols>
  <sheetData>
    <row r="1" spans="1:18" x14ac:dyDescent="0.35">
      <c r="A1" s="79" t="s">
        <v>101</v>
      </c>
      <c r="B1" s="71">
        <v>88015</v>
      </c>
    </row>
    <row r="2" spans="1:18" x14ac:dyDescent="0.35">
      <c r="A2" s="107" t="s">
        <v>102</v>
      </c>
      <c r="B2" s="72">
        <v>87814</v>
      </c>
    </row>
    <row r="3" spans="1:18" x14ac:dyDescent="0.35">
      <c r="A3" s="107" t="s">
        <v>103</v>
      </c>
      <c r="B3" s="72">
        <v>88056</v>
      </c>
    </row>
    <row r="4" spans="1:18" ht="15" thickBot="1" x14ac:dyDescent="0.4">
      <c r="A4" s="108" t="s">
        <v>104</v>
      </c>
      <c r="B4" s="143">
        <v>87631</v>
      </c>
    </row>
    <row r="5" spans="1:18" ht="15" thickBot="1" x14ac:dyDescent="0.4">
      <c r="A5" s="142"/>
    </row>
    <row r="6" spans="1:18" ht="15" thickBot="1" x14ac:dyDescent="0.4">
      <c r="A6" s="144" t="s">
        <v>75</v>
      </c>
      <c r="B6" s="145"/>
      <c r="C6" s="145"/>
      <c r="D6" s="145"/>
      <c r="E6" s="145"/>
      <c r="F6" s="145"/>
      <c r="G6" s="145"/>
      <c r="H6" s="145"/>
      <c r="I6" s="145"/>
      <c r="J6" s="145"/>
      <c r="K6" s="145"/>
      <c r="L6" s="145"/>
      <c r="M6" s="145"/>
      <c r="N6" s="145"/>
      <c r="O6" s="145"/>
      <c r="P6" s="145"/>
      <c r="Q6" s="145"/>
      <c r="R6" s="146"/>
    </row>
    <row r="7" spans="1:18" ht="15" thickBot="1" x14ac:dyDescent="0.4"/>
    <row r="8" spans="1:18" ht="15" thickBot="1" x14ac:dyDescent="0.4">
      <c r="A8" s="79" t="s">
        <v>76</v>
      </c>
    </row>
    <row r="9" spans="1:18" ht="15" customHeight="1" x14ac:dyDescent="0.35">
      <c r="A9" s="147" t="s">
        <v>86</v>
      </c>
      <c r="B9" s="148"/>
      <c r="C9" s="148"/>
      <c r="D9" s="148"/>
      <c r="E9" s="148"/>
      <c r="F9" s="148"/>
      <c r="G9" s="148"/>
      <c r="H9" s="148"/>
      <c r="I9" s="148"/>
      <c r="J9" s="148"/>
      <c r="K9" s="148"/>
      <c r="L9" s="148"/>
      <c r="M9" s="148"/>
      <c r="N9" s="148"/>
      <c r="O9" s="148"/>
      <c r="P9" s="148"/>
      <c r="Q9" s="148"/>
      <c r="R9" s="149"/>
    </row>
    <row r="10" spans="1:18" x14ac:dyDescent="0.35">
      <c r="A10" s="150"/>
      <c r="B10" s="151"/>
      <c r="C10" s="151"/>
      <c r="D10" s="151"/>
      <c r="E10" s="151"/>
      <c r="F10" s="151"/>
      <c r="G10" s="151"/>
      <c r="H10" s="151"/>
      <c r="I10" s="151"/>
      <c r="J10" s="151"/>
      <c r="K10" s="151"/>
      <c r="L10" s="151"/>
      <c r="M10" s="151"/>
      <c r="N10" s="151"/>
      <c r="O10" s="151"/>
      <c r="P10" s="151"/>
      <c r="Q10" s="151"/>
      <c r="R10" s="152"/>
    </row>
    <row r="11" spans="1:18" x14ac:dyDescent="0.35">
      <c r="A11" s="150"/>
      <c r="B11" s="151"/>
      <c r="C11" s="151"/>
      <c r="D11" s="151"/>
      <c r="E11" s="151"/>
      <c r="F11" s="151"/>
      <c r="G11" s="151"/>
      <c r="H11" s="151"/>
      <c r="I11" s="151"/>
      <c r="J11" s="151"/>
      <c r="K11" s="151"/>
      <c r="L11" s="151"/>
      <c r="M11" s="151"/>
      <c r="N11" s="151"/>
      <c r="O11" s="151"/>
      <c r="P11" s="151"/>
      <c r="Q11" s="151"/>
      <c r="R11" s="152"/>
    </row>
    <row r="12" spans="1:18" ht="15" thickBot="1" x14ac:dyDescent="0.4">
      <c r="A12" s="153"/>
      <c r="B12" s="154"/>
      <c r="C12" s="154"/>
      <c r="D12" s="154"/>
      <c r="E12" s="154"/>
      <c r="F12" s="154"/>
      <c r="G12" s="154"/>
      <c r="H12" s="154"/>
      <c r="I12" s="154"/>
      <c r="J12" s="154"/>
      <c r="K12" s="154"/>
      <c r="L12" s="154"/>
      <c r="M12" s="154"/>
      <c r="N12" s="154"/>
      <c r="O12" s="154"/>
      <c r="P12" s="154"/>
      <c r="Q12" s="154"/>
      <c r="R12" s="155"/>
    </row>
    <row r="13" spans="1:18" ht="15" thickBot="1" x14ac:dyDescent="0.4"/>
    <row r="14" spans="1:18" ht="15" thickBot="1" x14ac:dyDescent="0.4">
      <c r="A14" s="79" t="s">
        <v>77</v>
      </c>
    </row>
    <row r="15" spans="1:18" x14ac:dyDescent="0.35">
      <c r="A15" s="156" t="s">
        <v>87</v>
      </c>
      <c r="B15" s="157"/>
      <c r="C15" s="157"/>
      <c r="D15" s="157"/>
      <c r="E15" s="157"/>
      <c r="F15" s="157"/>
      <c r="G15" s="157"/>
      <c r="H15" s="157"/>
      <c r="I15" s="157"/>
      <c r="J15" s="157"/>
      <c r="K15" s="157"/>
      <c r="L15" s="157"/>
      <c r="M15" s="157"/>
      <c r="N15" s="157"/>
      <c r="O15" s="157"/>
      <c r="P15" s="157"/>
      <c r="Q15" s="157"/>
      <c r="R15" s="158"/>
    </row>
    <row r="16" spans="1:18" x14ac:dyDescent="0.35">
      <c r="A16" s="159"/>
      <c r="B16" s="160"/>
      <c r="C16" s="160"/>
      <c r="D16" s="160"/>
      <c r="E16" s="160"/>
      <c r="F16" s="160"/>
      <c r="G16" s="160"/>
      <c r="H16" s="160"/>
      <c r="I16" s="160"/>
      <c r="J16" s="160"/>
      <c r="K16" s="160"/>
      <c r="L16" s="160"/>
      <c r="M16" s="160"/>
      <c r="N16" s="160"/>
      <c r="O16" s="160"/>
      <c r="P16" s="160"/>
      <c r="Q16" s="160"/>
      <c r="R16" s="161"/>
    </row>
    <row r="17" spans="1:18" x14ac:dyDescent="0.35">
      <c r="A17" s="159"/>
      <c r="B17" s="160"/>
      <c r="C17" s="160"/>
      <c r="D17" s="160"/>
      <c r="E17" s="160"/>
      <c r="F17" s="160"/>
      <c r="G17" s="160"/>
      <c r="H17" s="160"/>
      <c r="I17" s="160"/>
      <c r="J17" s="160"/>
      <c r="K17" s="160"/>
      <c r="L17" s="160"/>
      <c r="M17" s="160"/>
      <c r="N17" s="160"/>
      <c r="O17" s="160"/>
      <c r="P17" s="160"/>
      <c r="Q17" s="160"/>
      <c r="R17" s="161"/>
    </row>
    <row r="18" spans="1:18" ht="15" thickBot="1" x14ac:dyDescent="0.4">
      <c r="A18" s="162"/>
      <c r="B18" s="163"/>
      <c r="C18" s="163"/>
      <c r="D18" s="163"/>
      <c r="E18" s="163"/>
      <c r="F18" s="163"/>
      <c r="G18" s="163"/>
      <c r="H18" s="163"/>
      <c r="I18" s="163"/>
      <c r="J18" s="163"/>
      <c r="K18" s="163"/>
      <c r="L18" s="163"/>
      <c r="M18" s="163"/>
      <c r="N18" s="163"/>
      <c r="O18" s="163"/>
      <c r="P18" s="163"/>
      <c r="Q18" s="163"/>
      <c r="R18" s="164"/>
    </row>
    <row r="19" spans="1:18" ht="15" thickBot="1" x14ac:dyDescent="0.4"/>
    <row r="20" spans="1:18" ht="15" thickBot="1" x14ac:dyDescent="0.4">
      <c r="A20" s="79" t="s">
        <v>27</v>
      </c>
    </row>
    <row r="21" spans="1:18" x14ac:dyDescent="0.35">
      <c r="A21" s="165" t="s">
        <v>88</v>
      </c>
      <c r="B21" s="166"/>
      <c r="C21" s="166"/>
      <c r="D21" s="166"/>
      <c r="E21" s="166"/>
      <c r="F21" s="166"/>
      <c r="G21" s="166"/>
      <c r="H21" s="166"/>
      <c r="I21" s="166"/>
      <c r="J21" s="166"/>
      <c r="K21" s="166"/>
      <c r="L21" s="166"/>
      <c r="M21" s="166"/>
      <c r="N21" s="166"/>
      <c r="O21" s="166"/>
      <c r="P21" s="166"/>
      <c r="Q21" s="166"/>
      <c r="R21" s="167"/>
    </row>
    <row r="22" spans="1:18" x14ac:dyDescent="0.35">
      <c r="A22" s="168"/>
      <c r="B22" s="169"/>
      <c r="C22" s="169"/>
      <c r="D22" s="169"/>
      <c r="E22" s="169"/>
      <c r="F22" s="169"/>
      <c r="G22" s="169"/>
      <c r="H22" s="169"/>
      <c r="I22" s="169"/>
      <c r="J22" s="169"/>
      <c r="K22" s="169"/>
      <c r="L22" s="169"/>
      <c r="M22" s="169"/>
      <c r="N22" s="169"/>
      <c r="O22" s="169"/>
      <c r="P22" s="169"/>
      <c r="Q22" s="169"/>
      <c r="R22" s="170"/>
    </row>
    <row r="23" spans="1:18" x14ac:dyDescent="0.35">
      <c r="A23" s="168"/>
      <c r="B23" s="169"/>
      <c r="C23" s="169"/>
      <c r="D23" s="169"/>
      <c r="E23" s="169"/>
      <c r="F23" s="169"/>
      <c r="G23" s="169"/>
      <c r="H23" s="169"/>
      <c r="I23" s="169"/>
      <c r="J23" s="169"/>
      <c r="K23" s="169"/>
      <c r="L23" s="169"/>
      <c r="M23" s="169"/>
      <c r="N23" s="169"/>
      <c r="O23" s="169"/>
      <c r="P23" s="169"/>
      <c r="Q23" s="169"/>
      <c r="R23" s="170"/>
    </row>
    <row r="24" spans="1:18" ht="15" thickBot="1" x14ac:dyDescent="0.4">
      <c r="A24" s="171"/>
      <c r="B24" s="172"/>
      <c r="C24" s="172"/>
      <c r="D24" s="172"/>
      <c r="E24" s="172"/>
      <c r="F24" s="172"/>
      <c r="G24" s="172"/>
      <c r="H24" s="172"/>
      <c r="I24" s="172"/>
      <c r="J24" s="172"/>
      <c r="K24" s="172"/>
      <c r="L24" s="172"/>
      <c r="M24" s="172"/>
      <c r="N24" s="172"/>
      <c r="O24" s="172"/>
      <c r="P24" s="172"/>
      <c r="Q24" s="172"/>
      <c r="R24" s="173"/>
    </row>
    <row r="25" spans="1:18" ht="15" thickBot="1" x14ac:dyDescent="0.4"/>
    <row r="26" spans="1:18" ht="15" thickBot="1" x14ac:dyDescent="0.4">
      <c r="A26" s="79" t="s">
        <v>78</v>
      </c>
    </row>
    <row r="27" spans="1:18" x14ac:dyDescent="0.35">
      <c r="A27" s="165" t="s">
        <v>89</v>
      </c>
      <c r="B27" s="166"/>
      <c r="C27" s="166"/>
      <c r="D27" s="166"/>
      <c r="E27" s="166"/>
      <c r="F27" s="166"/>
      <c r="G27" s="166"/>
      <c r="H27" s="166"/>
      <c r="I27" s="166"/>
      <c r="J27" s="166"/>
      <c r="K27" s="166"/>
      <c r="L27" s="166"/>
      <c r="M27" s="166"/>
      <c r="N27" s="166"/>
      <c r="O27" s="166"/>
      <c r="P27" s="166"/>
      <c r="Q27" s="166"/>
      <c r="R27" s="167"/>
    </row>
    <row r="28" spans="1:18" x14ac:dyDescent="0.35">
      <c r="A28" s="168"/>
      <c r="B28" s="169"/>
      <c r="C28" s="169"/>
      <c r="D28" s="169"/>
      <c r="E28" s="169"/>
      <c r="F28" s="169"/>
      <c r="G28" s="169"/>
      <c r="H28" s="169"/>
      <c r="I28" s="169"/>
      <c r="J28" s="169"/>
      <c r="K28" s="169"/>
      <c r="L28" s="169"/>
      <c r="M28" s="169"/>
      <c r="N28" s="169"/>
      <c r="O28" s="169"/>
      <c r="P28" s="169"/>
      <c r="Q28" s="169"/>
      <c r="R28" s="170"/>
    </row>
    <row r="29" spans="1:18" x14ac:dyDescent="0.35">
      <c r="A29" s="168"/>
      <c r="B29" s="169"/>
      <c r="C29" s="169"/>
      <c r="D29" s="169"/>
      <c r="E29" s="169"/>
      <c r="F29" s="169"/>
      <c r="G29" s="169"/>
      <c r="H29" s="169"/>
      <c r="I29" s="169"/>
      <c r="J29" s="169"/>
      <c r="K29" s="169"/>
      <c r="L29" s="169"/>
      <c r="M29" s="169"/>
      <c r="N29" s="169"/>
      <c r="O29" s="169"/>
      <c r="P29" s="169"/>
      <c r="Q29" s="169"/>
      <c r="R29" s="170"/>
    </row>
    <row r="30" spans="1:18" ht="15" thickBot="1" x14ac:dyDescent="0.4">
      <c r="A30" s="171"/>
      <c r="B30" s="172"/>
      <c r="C30" s="172"/>
      <c r="D30" s="172"/>
      <c r="E30" s="172"/>
      <c r="F30" s="172"/>
      <c r="G30" s="172"/>
      <c r="H30" s="172"/>
      <c r="I30" s="172"/>
      <c r="J30" s="172"/>
      <c r="K30" s="172"/>
      <c r="L30" s="172"/>
      <c r="M30" s="172"/>
      <c r="N30" s="172"/>
      <c r="O30" s="172"/>
      <c r="P30" s="172"/>
      <c r="Q30" s="172"/>
      <c r="R30" s="173"/>
    </row>
    <row r="31" spans="1:18" ht="15" thickBot="1" x14ac:dyDescent="0.4"/>
    <row r="32" spans="1:18" ht="15" thickBot="1" x14ac:dyDescent="0.4">
      <c r="A32" s="79" t="s">
        <v>79</v>
      </c>
    </row>
    <row r="33" spans="1:18" x14ac:dyDescent="0.35">
      <c r="A33" s="165" t="s">
        <v>90</v>
      </c>
      <c r="B33" s="166"/>
      <c r="C33" s="166"/>
      <c r="D33" s="166"/>
      <c r="E33" s="166"/>
      <c r="F33" s="166"/>
      <c r="G33" s="166"/>
      <c r="H33" s="166"/>
      <c r="I33" s="166"/>
      <c r="J33" s="166"/>
      <c r="K33" s="166"/>
      <c r="L33" s="166"/>
      <c r="M33" s="166"/>
      <c r="N33" s="166"/>
      <c r="O33" s="166"/>
      <c r="P33" s="166"/>
      <c r="Q33" s="166"/>
      <c r="R33" s="167"/>
    </row>
    <row r="34" spans="1:18" x14ac:dyDescent="0.35">
      <c r="A34" s="168"/>
      <c r="B34" s="169"/>
      <c r="C34" s="169"/>
      <c r="D34" s="169"/>
      <c r="E34" s="169"/>
      <c r="F34" s="169"/>
      <c r="G34" s="169"/>
      <c r="H34" s="169"/>
      <c r="I34" s="169"/>
      <c r="J34" s="169"/>
      <c r="K34" s="169"/>
      <c r="L34" s="169"/>
      <c r="M34" s="169"/>
      <c r="N34" s="169"/>
      <c r="O34" s="169"/>
      <c r="P34" s="169"/>
      <c r="Q34" s="169"/>
      <c r="R34" s="170"/>
    </row>
    <row r="35" spans="1:18" x14ac:dyDescent="0.35">
      <c r="A35" s="168"/>
      <c r="B35" s="169"/>
      <c r="C35" s="169"/>
      <c r="D35" s="169"/>
      <c r="E35" s="169"/>
      <c r="F35" s="169"/>
      <c r="G35" s="169"/>
      <c r="H35" s="169"/>
      <c r="I35" s="169"/>
      <c r="J35" s="169"/>
      <c r="K35" s="169"/>
      <c r="L35" s="169"/>
      <c r="M35" s="169"/>
      <c r="N35" s="169"/>
      <c r="O35" s="169"/>
      <c r="P35" s="169"/>
      <c r="Q35" s="169"/>
      <c r="R35" s="170"/>
    </row>
    <row r="36" spans="1:18" ht="15" thickBot="1" x14ac:dyDescent="0.4">
      <c r="A36" s="171"/>
      <c r="B36" s="172"/>
      <c r="C36" s="172"/>
      <c r="D36" s="172"/>
      <c r="E36" s="172"/>
      <c r="F36" s="172"/>
      <c r="G36" s="172"/>
      <c r="H36" s="172"/>
      <c r="I36" s="172"/>
      <c r="J36" s="172"/>
      <c r="K36" s="172"/>
      <c r="L36" s="172"/>
      <c r="M36" s="172"/>
      <c r="N36" s="172"/>
      <c r="O36" s="172"/>
      <c r="P36" s="172"/>
      <c r="Q36" s="172"/>
      <c r="R36" s="173"/>
    </row>
    <row r="37" spans="1:18" ht="15" thickBot="1" x14ac:dyDescent="0.4"/>
    <row r="38" spans="1:18" ht="15" thickBot="1" x14ac:dyDescent="0.4">
      <c r="A38" s="79" t="s">
        <v>11</v>
      </c>
    </row>
    <row r="39" spans="1:18" x14ac:dyDescent="0.35">
      <c r="A39" s="165" t="s">
        <v>91</v>
      </c>
      <c r="B39" s="166"/>
      <c r="C39" s="166"/>
      <c r="D39" s="166"/>
      <c r="E39" s="166"/>
      <c r="F39" s="166"/>
      <c r="G39" s="166"/>
      <c r="H39" s="166"/>
      <c r="I39" s="166"/>
      <c r="J39" s="166"/>
      <c r="K39" s="166"/>
      <c r="L39" s="166"/>
      <c r="M39" s="166"/>
      <c r="N39" s="166"/>
      <c r="O39" s="166"/>
      <c r="P39" s="166"/>
      <c r="Q39" s="166"/>
      <c r="R39" s="167"/>
    </row>
    <row r="40" spans="1:18" x14ac:dyDescent="0.35">
      <c r="A40" s="168"/>
      <c r="B40" s="169"/>
      <c r="C40" s="169"/>
      <c r="D40" s="169"/>
      <c r="E40" s="169"/>
      <c r="F40" s="169"/>
      <c r="G40" s="169"/>
      <c r="H40" s="169"/>
      <c r="I40" s="169"/>
      <c r="J40" s="169"/>
      <c r="K40" s="169"/>
      <c r="L40" s="169"/>
      <c r="M40" s="169"/>
      <c r="N40" s="169"/>
      <c r="O40" s="169"/>
      <c r="P40" s="169"/>
      <c r="Q40" s="169"/>
      <c r="R40" s="170"/>
    </row>
    <row r="41" spans="1:18" x14ac:dyDescent="0.35">
      <c r="A41" s="168"/>
      <c r="B41" s="169"/>
      <c r="C41" s="169"/>
      <c r="D41" s="169"/>
      <c r="E41" s="169"/>
      <c r="F41" s="169"/>
      <c r="G41" s="169"/>
      <c r="H41" s="169"/>
      <c r="I41" s="169"/>
      <c r="J41" s="169"/>
      <c r="K41" s="169"/>
      <c r="L41" s="169"/>
      <c r="M41" s="169"/>
      <c r="N41" s="169"/>
      <c r="O41" s="169"/>
      <c r="P41" s="169"/>
      <c r="Q41" s="169"/>
      <c r="R41" s="170"/>
    </row>
    <row r="42" spans="1:18" ht="15" thickBot="1" x14ac:dyDescent="0.4">
      <c r="A42" s="171"/>
      <c r="B42" s="172"/>
      <c r="C42" s="172"/>
      <c r="D42" s="172"/>
      <c r="E42" s="172"/>
      <c r="F42" s="172"/>
      <c r="G42" s="172"/>
      <c r="H42" s="172"/>
      <c r="I42" s="172"/>
      <c r="J42" s="172"/>
      <c r="K42" s="172"/>
      <c r="L42" s="172"/>
      <c r="M42" s="172"/>
      <c r="N42" s="172"/>
      <c r="O42" s="172"/>
      <c r="P42" s="172"/>
      <c r="Q42" s="172"/>
      <c r="R42" s="173"/>
    </row>
    <row r="44" spans="1:18" ht="15" thickBot="1" x14ac:dyDescent="0.4"/>
    <row r="45" spans="1:18" ht="15" thickBot="1" x14ac:dyDescent="0.4">
      <c r="A45" s="144" t="s">
        <v>80</v>
      </c>
      <c r="B45" s="145"/>
      <c r="C45" s="145"/>
      <c r="D45" s="145"/>
      <c r="E45" s="145"/>
      <c r="F45" s="145"/>
      <c r="G45" s="145"/>
      <c r="H45" s="145"/>
      <c r="I45" s="145"/>
      <c r="J45" s="145"/>
      <c r="K45" s="145"/>
      <c r="L45" s="145"/>
      <c r="M45" s="145"/>
      <c r="N45" s="145"/>
      <c r="O45" s="145"/>
      <c r="P45" s="145"/>
      <c r="Q45" s="145"/>
      <c r="R45" s="146"/>
    </row>
    <row r="46" spans="1:18" ht="15" thickBot="1" x14ac:dyDescent="0.4">
      <c r="A46" s="2"/>
    </row>
    <row r="47" spans="1:18" ht="15" thickBot="1" x14ac:dyDescent="0.4">
      <c r="A47" s="79" t="s">
        <v>46</v>
      </c>
    </row>
    <row r="48" spans="1:18" ht="15" customHeight="1" x14ac:dyDescent="0.35">
      <c r="A48" s="165" t="s">
        <v>92</v>
      </c>
      <c r="B48" s="166"/>
      <c r="C48" s="166"/>
      <c r="D48" s="166"/>
      <c r="E48" s="166"/>
      <c r="F48" s="166"/>
      <c r="G48" s="166"/>
      <c r="H48" s="166"/>
      <c r="I48" s="166"/>
      <c r="J48" s="166"/>
      <c r="K48" s="166"/>
      <c r="L48" s="166"/>
      <c r="M48" s="166"/>
      <c r="N48" s="166"/>
      <c r="O48" s="166"/>
      <c r="P48" s="166"/>
      <c r="Q48" s="166"/>
      <c r="R48" s="167"/>
    </row>
    <row r="49" spans="1:18" x14ac:dyDescent="0.35">
      <c r="A49" s="168"/>
      <c r="B49" s="169"/>
      <c r="C49" s="169"/>
      <c r="D49" s="169"/>
      <c r="E49" s="169"/>
      <c r="F49" s="169"/>
      <c r="G49" s="169"/>
      <c r="H49" s="169"/>
      <c r="I49" s="169"/>
      <c r="J49" s="169"/>
      <c r="K49" s="169"/>
      <c r="L49" s="169"/>
      <c r="M49" s="169"/>
      <c r="N49" s="169"/>
      <c r="O49" s="169"/>
      <c r="P49" s="169"/>
      <c r="Q49" s="169"/>
      <c r="R49" s="170"/>
    </row>
    <row r="50" spans="1:18" x14ac:dyDescent="0.35">
      <c r="A50" s="168"/>
      <c r="B50" s="169"/>
      <c r="C50" s="169"/>
      <c r="D50" s="169"/>
      <c r="E50" s="169"/>
      <c r="F50" s="169"/>
      <c r="G50" s="169"/>
      <c r="H50" s="169"/>
      <c r="I50" s="169"/>
      <c r="J50" s="169"/>
      <c r="K50" s="169"/>
      <c r="L50" s="169"/>
      <c r="M50" s="169"/>
      <c r="N50" s="169"/>
      <c r="O50" s="169"/>
      <c r="P50" s="169"/>
      <c r="Q50" s="169"/>
      <c r="R50" s="170"/>
    </row>
    <row r="51" spans="1:18" x14ac:dyDescent="0.35">
      <c r="A51" s="168"/>
      <c r="B51" s="169"/>
      <c r="C51" s="169"/>
      <c r="D51" s="169"/>
      <c r="E51" s="169"/>
      <c r="F51" s="169"/>
      <c r="G51" s="169"/>
      <c r="H51" s="169"/>
      <c r="I51" s="169"/>
      <c r="J51" s="169"/>
      <c r="K51" s="169"/>
      <c r="L51" s="169"/>
      <c r="M51" s="169"/>
      <c r="N51" s="169"/>
      <c r="O51" s="169"/>
      <c r="P51" s="169"/>
      <c r="Q51" s="169"/>
      <c r="R51" s="170"/>
    </row>
    <row r="52" spans="1:18" ht="15" thickBot="1" x14ac:dyDescent="0.4">
      <c r="A52" s="171"/>
      <c r="B52" s="172"/>
      <c r="C52" s="172"/>
      <c r="D52" s="172"/>
      <c r="E52" s="172"/>
      <c r="F52" s="172"/>
      <c r="G52" s="172"/>
      <c r="H52" s="172"/>
      <c r="I52" s="172"/>
      <c r="J52" s="172"/>
      <c r="K52" s="172"/>
      <c r="L52" s="172"/>
      <c r="M52" s="172"/>
      <c r="N52" s="172"/>
      <c r="O52" s="172"/>
      <c r="P52" s="172"/>
      <c r="Q52" s="172"/>
      <c r="R52" s="173"/>
    </row>
    <row r="53" spans="1:18" ht="15" thickBot="1" x14ac:dyDescent="0.4"/>
    <row r="54" spans="1:18" ht="15" thickBot="1" x14ac:dyDescent="0.4">
      <c r="A54" s="79" t="s">
        <v>81</v>
      </c>
    </row>
    <row r="55" spans="1:18" x14ac:dyDescent="0.35">
      <c r="A55" s="165" t="s">
        <v>93</v>
      </c>
      <c r="B55" s="166"/>
      <c r="C55" s="166"/>
      <c r="D55" s="166"/>
      <c r="E55" s="166"/>
      <c r="F55" s="166"/>
      <c r="G55" s="166"/>
      <c r="H55" s="166"/>
      <c r="I55" s="166"/>
      <c r="J55" s="166"/>
      <c r="K55" s="166"/>
      <c r="L55" s="166"/>
      <c r="M55" s="166"/>
      <c r="N55" s="166"/>
      <c r="O55" s="166"/>
      <c r="P55" s="166"/>
      <c r="Q55" s="166"/>
      <c r="R55" s="167"/>
    </row>
    <row r="56" spans="1:18" x14ac:dyDescent="0.35">
      <c r="A56" s="168"/>
      <c r="B56" s="169"/>
      <c r="C56" s="169"/>
      <c r="D56" s="169"/>
      <c r="E56" s="169"/>
      <c r="F56" s="169"/>
      <c r="G56" s="169"/>
      <c r="H56" s="169"/>
      <c r="I56" s="169"/>
      <c r="J56" s="169"/>
      <c r="K56" s="169"/>
      <c r="L56" s="169"/>
      <c r="M56" s="169"/>
      <c r="N56" s="169"/>
      <c r="O56" s="169"/>
      <c r="P56" s="169"/>
      <c r="Q56" s="169"/>
      <c r="R56" s="170"/>
    </row>
    <row r="57" spans="1:18" x14ac:dyDescent="0.35">
      <c r="A57" s="168"/>
      <c r="B57" s="169"/>
      <c r="C57" s="169"/>
      <c r="D57" s="169"/>
      <c r="E57" s="169"/>
      <c r="F57" s="169"/>
      <c r="G57" s="169"/>
      <c r="H57" s="169"/>
      <c r="I57" s="169"/>
      <c r="J57" s="169"/>
      <c r="K57" s="169"/>
      <c r="L57" s="169"/>
      <c r="M57" s="169"/>
      <c r="N57" s="169"/>
      <c r="O57" s="169"/>
      <c r="P57" s="169"/>
      <c r="Q57" s="169"/>
      <c r="R57" s="170"/>
    </row>
    <row r="58" spans="1:18" x14ac:dyDescent="0.35">
      <c r="A58" s="168"/>
      <c r="B58" s="169"/>
      <c r="C58" s="169"/>
      <c r="D58" s="169"/>
      <c r="E58" s="169"/>
      <c r="F58" s="169"/>
      <c r="G58" s="169"/>
      <c r="H58" s="169"/>
      <c r="I58" s="169"/>
      <c r="J58" s="169"/>
      <c r="K58" s="169"/>
      <c r="L58" s="169"/>
      <c r="M58" s="169"/>
      <c r="N58" s="169"/>
      <c r="O58" s="169"/>
      <c r="P58" s="169"/>
      <c r="Q58" s="169"/>
      <c r="R58" s="170"/>
    </row>
    <row r="59" spans="1:18" ht="15" thickBot="1" x14ac:dyDescent="0.4">
      <c r="A59" s="171"/>
      <c r="B59" s="172"/>
      <c r="C59" s="172"/>
      <c r="D59" s="172"/>
      <c r="E59" s="172"/>
      <c r="F59" s="172"/>
      <c r="G59" s="172"/>
      <c r="H59" s="172"/>
      <c r="I59" s="172"/>
      <c r="J59" s="172"/>
      <c r="K59" s="172"/>
      <c r="L59" s="172"/>
      <c r="M59" s="172"/>
      <c r="N59" s="172"/>
      <c r="O59" s="172"/>
      <c r="P59" s="172"/>
      <c r="Q59" s="172"/>
      <c r="R59" s="173"/>
    </row>
    <row r="60" spans="1:18" ht="15" thickBot="1" x14ac:dyDescent="0.4"/>
    <row r="61" spans="1:18" ht="15" thickBot="1" x14ac:dyDescent="0.4">
      <c r="A61" s="144" t="s">
        <v>82</v>
      </c>
      <c r="B61" s="145"/>
      <c r="C61" s="145"/>
      <c r="D61" s="145"/>
      <c r="E61" s="145"/>
      <c r="F61" s="145"/>
      <c r="G61" s="145"/>
      <c r="H61" s="145"/>
      <c r="I61" s="145"/>
      <c r="J61" s="145"/>
      <c r="K61" s="145"/>
      <c r="L61" s="145"/>
      <c r="M61" s="145"/>
      <c r="N61" s="145"/>
      <c r="O61" s="145"/>
      <c r="P61" s="145"/>
      <c r="Q61" s="145"/>
      <c r="R61" s="146"/>
    </row>
    <row r="62" spans="1:18" ht="15" thickBot="1" x14ac:dyDescent="0.4"/>
    <row r="63" spans="1:18" ht="15" thickBot="1" x14ac:dyDescent="0.4">
      <c r="A63" s="79" t="s">
        <v>83</v>
      </c>
    </row>
    <row r="64" spans="1:18" x14ac:dyDescent="0.35">
      <c r="A64" s="156" t="s">
        <v>94</v>
      </c>
      <c r="B64" s="157"/>
      <c r="C64" s="157"/>
      <c r="D64" s="157"/>
      <c r="E64" s="157"/>
      <c r="F64" s="157"/>
      <c r="G64" s="157"/>
      <c r="H64" s="157"/>
      <c r="I64" s="157"/>
      <c r="J64" s="157"/>
      <c r="K64" s="157"/>
      <c r="L64" s="157"/>
      <c r="M64" s="157"/>
      <c r="N64" s="157"/>
      <c r="O64" s="157"/>
      <c r="P64" s="157"/>
      <c r="Q64" s="157"/>
      <c r="R64" s="158"/>
    </row>
    <row r="65" spans="1:18" ht="15" thickBot="1" x14ac:dyDescent="0.4">
      <c r="A65" s="162"/>
      <c r="B65" s="163"/>
      <c r="C65" s="163"/>
      <c r="D65" s="163"/>
      <c r="E65" s="163"/>
      <c r="F65" s="163"/>
      <c r="G65" s="163"/>
      <c r="H65" s="163"/>
      <c r="I65" s="163"/>
      <c r="J65" s="163"/>
      <c r="K65" s="163"/>
      <c r="L65" s="163"/>
      <c r="M65" s="163"/>
      <c r="N65" s="163"/>
      <c r="O65" s="163"/>
      <c r="P65" s="163"/>
      <c r="Q65" s="163"/>
      <c r="R65" s="164"/>
    </row>
    <row r="66" spans="1:18" ht="15" thickBot="1" x14ac:dyDescent="0.4"/>
    <row r="67" spans="1:18" ht="15" thickBot="1" x14ac:dyDescent="0.4">
      <c r="A67" s="36" t="s">
        <v>84</v>
      </c>
    </row>
    <row r="68" spans="1:18" x14ac:dyDescent="0.35">
      <c r="A68" s="156" t="s">
        <v>95</v>
      </c>
      <c r="B68" s="157"/>
      <c r="C68" s="157"/>
      <c r="D68" s="157"/>
      <c r="E68" s="157"/>
      <c r="F68" s="157"/>
      <c r="G68" s="157"/>
      <c r="H68" s="157"/>
      <c r="I68" s="157"/>
      <c r="J68" s="157"/>
      <c r="K68" s="157"/>
      <c r="L68" s="157"/>
      <c r="M68" s="157"/>
      <c r="N68" s="157"/>
      <c r="O68" s="157"/>
      <c r="P68" s="157"/>
      <c r="Q68" s="157"/>
      <c r="R68" s="158"/>
    </row>
    <row r="69" spans="1:18" ht="15" thickBot="1" x14ac:dyDescent="0.4">
      <c r="A69" s="162"/>
      <c r="B69" s="163"/>
      <c r="C69" s="163"/>
      <c r="D69" s="163"/>
      <c r="E69" s="163"/>
      <c r="F69" s="163"/>
      <c r="G69" s="163"/>
      <c r="H69" s="163"/>
      <c r="I69" s="163"/>
      <c r="J69" s="163"/>
      <c r="K69" s="163"/>
      <c r="L69" s="163"/>
      <c r="M69" s="163"/>
      <c r="N69" s="163"/>
      <c r="O69" s="163"/>
      <c r="P69" s="163"/>
      <c r="Q69" s="163"/>
      <c r="R69" s="164"/>
    </row>
  </sheetData>
  <sheetProtection sheet="1" objects="1" scenarios="1"/>
  <mergeCells count="13">
    <mergeCell ref="A61:R61"/>
    <mergeCell ref="A64:R65"/>
    <mergeCell ref="A68:R69"/>
    <mergeCell ref="A33:R36"/>
    <mergeCell ref="A39:R42"/>
    <mergeCell ref="A45:R45"/>
    <mergeCell ref="A48:R52"/>
    <mergeCell ref="A55:R59"/>
    <mergeCell ref="A6:R6"/>
    <mergeCell ref="A9:R12"/>
    <mergeCell ref="A15:R18"/>
    <mergeCell ref="A21:R24"/>
    <mergeCell ref="A27:R3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3DC26-FC78-4C7C-AFEB-9724B35AA3A4}">
  <sheetPr codeName="Sheet3"/>
  <dimension ref="B1:M67"/>
  <sheetViews>
    <sheetView showGridLines="0" topLeftCell="A2" zoomScale="72" workbookViewId="0">
      <selection activeCell="F21" sqref="F21"/>
    </sheetView>
  </sheetViews>
  <sheetFormatPr defaultRowHeight="14.5" x14ac:dyDescent="0.35"/>
  <cols>
    <col min="2" max="2" width="13.26953125" bestFit="1" customWidth="1"/>
    <col min="3" max="3" width="15.7265625" bestFit="1" customWidth="1"/>
    <col min="4" max="13" width="14.26953125" bestFit="1" customWidth="1"/>
  </cols>
  <sheetData>
    <row r="1" spans="2:13" ht="15" thickBot="1" x14ac:dyDescent="0.4"/>
    <row r="2" spans="2:13" ht="15" thickBot="1" x14ac:dyDescent="0.4">
      <c r="B2" s="174" t="s">
        <v>16</v>
      </c>
      <c r="C2" s="175"/>
    </row>
    <row r="4" spans="2:13" x14ac:dyDescent="0.35">
      <c r="B4" s="20" t="s">
        <v>15</v>
      </c>
      <c r="C4" s="21">
        <f>'NPV Project'!C4</f>
        <v>0.05</v>
      </c>
      <c r="L4" s="176" t="s">
        <v>19</v>
      </c>
      <c r="M4" s="176"/>
    </row>
    <row r="6" spans="2:13" x14ac:dyDescent="0.35">
      <c r="B6" s="19" t="s">
        <v>14</v>
      </c>
      <c r="C6" s="19">
        <v>0</v>
      </c>
      <c r="D6" s="19">
        <v>1</v>
      </c>
      <c r="E6" s="19">
        <v>2</v>
      </c>
      <c r="F6" s="19">
        <v>3</v>
      </c>
      <c r="G6" s="19">
        <v>4</v>
      </c>
      <c r="H6" s="19">
        <v>5</v>
      </c>
      <c r="I6" s="19">
        <v>6</v>
      </c>
      <c r="J6" s="19">
        <v>7</v>
      </c>
      <c r="K6" s="19">
        <v>8</v>
      </c>
      <c r="L6" s="19">
        <v>9</v>
      </c>
      <c r="M6" s="19">
        <v>10</v>
      </c>
    </row>
    <row r="7" spans="2:13" x14ac:dyDescent="0.35">
      <c r="B7" s="2" t="s">
        <v>42</v>
      </c>
    </row>
    <row r="8" spans="2:13" x14ac:dyDescent="0.35">
      <c r="B8" s="122" t="s">
        <v>0</v>
      </c>
      <c r="C8" s="127">
        <v>-300000</v>
      </c>
      <c r="D8" s="127">
        <v>40000</v>
      </c>
      <c r="E8" s="128">
        <v>40000</v>
      </c>
      <c r="F8" s="128">
        <v>40000</v>
      </c>
      <c r="G8" s="128">
        <v>40000</v>
      </c>
      <c r="H8" s="128">
        <v>40000</v>
      </c>
      <c r="I8" s="128">
        <v>40000</v>
      </c>
      <c r="J8" s="127">
        <v>40000</v>
      </c>
      <c r="K8" s="127">
        <v>40000</v>
      </c>
      <c r="L8" s="129">
        <v>40000</v>
      </c>
      <c r="M8" s="129">
        <v>40000</v>
      </c>
    </row>
    <row r="9" spans="2:13" x14ac:dyDescent="0.35">
      <c r="B9" s="122" t="s">
        <v>1</v>
      </c>
      <c r="C9" s="127">
        <v>-1000000</v>
      </c>
      <c r="D9" s="127">
        <v>150000</v>
      </c>
      <c r="E9" s="128">
        <v>150000</v>
      </c>
      <c r="F9" s="128">
        <v>150000</v>
      </c>
      <c r="G9" s="128">
        <v>150000</v>
      </c>
      <c r="H9" s="128">
        <v>150000</v>
      </c>
      <c r="I9" s="128">
        <v>150000</v>
      </c>
      <c r="J9" s="127">
        <v>150000</v>
      </c>
      <c r="K9" s="127">
        <v>150000</v>
      </c>
      <c r="L9" s="129">
        <v>150000</v>
      </c>
      <c r="M9" s="129">
        <v>150000</v>
      </c>
    </row>
    <row r="10" spans="2:13" x14ac:dyDescent="0.35">
      <c r="B10" s="122" t="s">
        <v>2</v>
      </c>
      <c r="C10" s="127">
        <v>-500000</v>
      </c>
      <c r="D10" s="127">
        <v>200000</v>
      </c>
      <c r="E10" s="128">
        <v>200000</v>
      </c>
      <c r="F10" s="128">
        <v>200000</v>
      </c>
      <c r="G10" s="128">
        <v>200000</v>
      </c>
      <c r="H10" s="128">
        <v>200000</v>
      </c>
      <c r="I10" s="128">
        <v>200000</v>
      </c>
      <c r="J10" s="127">
        <v>200000</v>
      </c>
      <c r="K10" s="127">
        <v>200000</v>
      </c>
      <c r="L10" s="129"/>
      <c r="M10" s="129"/>
    </row>
    <row r="11" spans="2:13" x14ac:dyDescent="0.35">
      <c r="B11" s="122" t="s">
        <v>3</v>
      </c>
      <c r="C11" s="127">
        <v>-10000</v>
      </c>
      <c r="D11" s="127">
        <v>2000</v>
      </c>
      <c r="E11" s="128">
        <v>2000</v>
      </c>
      <c r="F11" s="128">
        <v>2000</v>
      </c>
      <c r="G11" s="128">
        <v>2000</v>
      </c>
      <c r="H11" s="128">
        <v>2000</v>
      </c>
      <c r="I11" s="128">
        <v>2000</v>
      </c>
      <c r="J11" s="127">
        <v>2000</v>
      </c>
      <c r="K11" s="127">
        <v>2000</v>
      </c>
      <c r="L11" s="129">
        <v>2000</v>
      </c>
      <c r="M11" s="129">
        <v>2000</v>
      </c>
    </row>
    <row r="12" spans="2:13" x14ac:dyDescent="0.35">
      <c r="B12" s="122" t="s">
        <v>4</v>
      </c>
      <c r="C12" s="127">
        <v>-15000</v>
      </c>
      <c r="D12" s="127">
        <v>2500</v>
      </c>
      <c r="E12" s="127">
        <v>2500</v>
      </c>
      <c r="F12" s="127">
        <v>2500</v>
      </c>
      <c r="G12" s="127">
        <v>2500</v>
      </c>
      <c r="H12" s="127">
        <v>2500</v>
      </c>
      <c r="I12" s="127">
        <v>2500</v>
      </c>
      <c r="J12" s="127">
        <v>2500</v>
      </c>
      <c r="K12" s="127">
        <v>2500</v>
      </c>
      <c r="L12" s="129"/>
      <c r="M12" s="129"/>
    </row>
    <row r="13" spans="2:13" x14ac:dyDescent="0.35">
      <c r="B13" s="122" t="s">
        <v>5</v>
      </c>
      <c r="C13" s="127">
        <v>-100000</v>
      </c>
      <c r="D13" s="127">
        <v>25000</v>
      </c>
      <c r="E13" s="127">
        <v>25000</v>
      </c>
      <c r="F13" s="127">
        <v>25000</v>
      </c>
      <c r="G13" s="127">
        <v>25000</v>
      </c>
      <c r="H13" s="127">
        <v>25000</v>
      </c>
      <c r="I13" s="127">
        <v>25000</v>
      </c>
      <c r="J13" s="127">
        <v>25000</v>
      </c>
      <c r="K13" s="127">
        <v>25000</v>
      </c>
      <c r="L13" s="129">
        <v>25000</v>
      </c>
      <c r="M13" s="129">
        <v>25000</v>
      </c>
    </row>
    <row r="14" spans="2:13" x14ac:dyDescent="0.35">
      <c r="B14" s="122" t="s">
        <v>6</v>
      </c>
      <c r="C14" s="127">
        <v>-250000</v>
      </c>
      <c r="D14" s="127">
        <v>31000</v>
      </c>
      <c r="E14" s="127">
        <v>31000</v>
      </c>
      <c r="F14" s="127">
        <v>31000</v>
      </c>
      <c r="G14" s="127">
        <v>31000</v>
      </c>
      <c r="H14" s="127">
        <v>31000</v>
      </c>
      <c r="I14" s="127">
        <v>31000</v>
      </c>
      <c r="J14" s="127">
        <v>31000</v>
      </c>
      <c r="K14" s="127">
        <v>31000</v>
      </c>
      <c r="L14" s="129">
        <v>31000</v>
      </c>
      <c r="M14" s="129">
        <v>31000</v>
      </c>
    </row>
    <row r="15" spans="2:13" x14ac:dyDescent="0.35">
      <c r="B15" s="122" t="s">
        <v>7</v>
      </c>
      <c r="C15" s="127">
        <v>-330000</v>
      </c>
      <c r="D15" s="127">
        <v>38000</v>
      </c>
      <c r="E15" s="127">
        <v>38000</v>
      </c>
      <c r="F15" s="127">
        <v>38000</v>
      </c>
      <c r="G15" s="127">
        <v>38000</v>
      </c>
      <c r="H15" s="127">
        <v>38000</v>
      </c>
      <c r="I15" s="127">
        <v>38000</v>
      </c>
      <c r="J15" s="127">
        <v>38000</v>
      </c>
      <c r="K15" s="127">
        <v>38000</v>
      </c>
      <c r="L15" s="127">
        <v>38000</v>
      </c>
      <c r="M15" s="127">
        <v>38000</v>
      </c>
    </row>
    <row r="16" spans="2:13" x14ac:dyDescent="0.35">
      <c r="B16" s="130" t="s">
        <v>85</v>
      </c>
      <c r="C16" s="129">
        <v>-80000</v>
      </c>
      <c r="D16" s="129">
        <v>11000</v>
      </c>
      <c r="E16" s="129">
        <v>11000</v>
      </c>
      <c r="F16" s="129">
        <v>11000</v>
      </c>
      <c r="G16" s="129">
        <v>11000</v>
      </c>
      <c r="H16" s="129">
        <v>11000</v>
      </c>
      <c r="I16" s="129">
        <v>11000</v>
      </c>
      <c r="J16" s="129">
        <v>11000</v>
      </c>
      <c r="K16" s="129">
        <v>11000</v>
      </c>
      <c r="L16" s="129">
        <v>11000</v>
      </c>
      <c r="M16" s="129">
        <v>11000</v>
      </c>
    </row>
    <row r="17" spans="2:13" x14ac:dyDescent="0.35">
      <c r="B17" s="125"/>
      <c r="C17" s="131"/>
      <c r="D17" s="131"/>
      <c r="E17" s="131"/>
      <c r="F17" s="131"/>
      <c r="G17" s="131"/>
      <c r="H17" s="131"/>
      <c r="I17" s="131"/>
      <c r="J17" s="131"/>
      <c r="K17" s="131"/>
      <c r="L17" s="131"/>
      <c r="M17" s="137"/>
    </row>
    <row r="18" spans="2:13" x14ac:dyDescent="0.35">
      <c r="B18" s="125"/>
      <c r="C18" s="123"/>
      <c r="D18" s="123"/>
      <c r="E18" s="123"/>
      <c r="F18" s="123"/>
      <c r="G18" s="123"/>
      <c r="H18" s="123"/>
      <c r="I18" s="123"/>
      <c r="J18" s="123"/>
      <c r="K18" s="123"/>
      <c r="L18" s="123"/>
      <c r="M18" s="123"/>
    </row>
    <row r="19" spans="2:13" x14ac:dyDescent="0.35">
      <c r="B19" s="125"/>
      <c r="C19" s="123"/>
      <c r="D19" s="123"/>
      <c r="E19" s="123"/>
      <c r="F19" s="123"/>
      <c r="G19" s="123"/>
      <c r="H19" s="123"/>
      <c r="I19" s="123"/>
      <c r="J19" s="123"/>
      <c r="K19" s="123"/>
      <c r="L19" s="123"/>
      <c r="M19" s="123"/>
    </row>
    <row r="20" spans="2:13" x14ac:dyDescent="0.35">
      <c r="B20" s="125"/>
      <c r="C20" s="123"/>
      <c r="D20" s="123"/>
      <c r="E20" s="123"/>
      <c r="F20" s="123"/>
      <c r="G20" s="123"/>
      <c r="H20" s="123"/>
      <c r="I20" s="123"/>
      <c r="J20" s="123"/>
      <c r="K20" s="123"/>
      <c r="L20" s="123"/>
      <c r="M20" s="123"/>
    </row>
    <row r="21" spans="2:13" x14ac:dyDescent="0.35">
      <c r="B21" s="125"/>
      <c r="C21" s="123"/>
      <c r="D21" s="123"/>
      <c r="E21" s="123"/>
      <c r="F21" s="123"/>
      <c r="G21" s="123"/>
      <c r="H21" s="123"/>
      <c r="I21" s="123"/>
      <c r="J21" s="123"/>
      <c r="K21" s="123"/>
      <c r="L21" s="123"/>
      <c r="M21" s="123"/>
    </row>
    <row r="22" spans="2:13" x14ac:dyDescent="0.35">
      <c r="B22" s="125"/>
      <c r="C22" s="123"/>
      <c r="D22" s="123"/>
      <c r="E22" s="123"/>
      <c r="F22" s="123"/>
      <c r="G22" s="123"/>
      <c r="H22" s="123"/>
      <c r="I22" s="123"/>
      <c r="J22" s="123"/>
      <c r="K22" s="123"/>
      <c r="L22" s="123"/>
      <c r="M22" s="123"/>
    </row>
    <row r="23" spans="2:13" x14ac:dyDescent="0.35">
      <c r="B23" s="125"/>
      <c r="C23" s="123"/>
      <c r="D23" s="123"/>
      <c r="E23" s="123"/>
      <c r="F23" s="123"/>
      <c r="G23" s="123"/>
      <c r="H23" s="123"/>
      <c r="I23" s="123"/>
      <c r="J23" s="123"/>
      <c r="K23" s="123"/>
      <c r="L23" s="123"/>
      <c r="M23" s="123"/>
    </row>
    <row r="24" spans="2:13" x14ac:dyDescent="0.35">
      <c r="B24" s="125"/>
      <c r="C24" s="123"/>
      <c r="D24" s="123"/>
      <c r="E24" s="123"/>
      <c r="F24" s="123"/>
      <c r="G24" s="123"/>
      <c r="H24" s="123"/>
      <c r="I24" s="123"/>
      <c r="J24" s="123"/>
      <c r="K24" s="123"/>
      <c r="L24" s="123"/>
      <c r="M24" s="123"/>
    </row>
    <row r="25" spans="2:13" x14ac:dyDescent="0.35">
      <c r="B25" s="125"/>
      <c r="C25" s="123"/>
      <c r="D25" s="123"/>
      <c r="E25" s="123"/>
      <c r="F25" s="123"/>
      <c r="G25" s="123"/>
      <c r="H25" s="123"/>
      <c r="I25" s="123"/>
      <c r="J25" s="123"/>
      <c r="K25" s="123"/>
      <c r="L25" s="123"/>
      <c r="M25" s="123"/>
    </row>
    <row r="26" spans="2:13" x14ac:dyDescent="0.35">
      <c r="B26" s="125"/>
      <c r="C26" s="123"/>
      <c r="D26" s="123"/>
      <c r="E26" s="123"/>
      <c r="F26" s="123"/>
      <c r="G26" s="123"/>
      <c r="H26" s="123"/>
      <c r="I26" s="123"/>
      <c r="J26" s="123"/>
      <c r="K26" s="123"/>
      <c r="L26" s="123"/>
      <c r="M26" s="123"/>
    </row>
    <row r="27" spans="2:13" x14ac:dyDescent="0.35">
      <c r="B27" s="125"/>
      <c r="C27" s="123"/>
      <c r="D27" s="123"/>
      <c r="E27" s="123"/>
      <c r="F27" s="123"/>
      <c r="G27" s="123"/>
      <c r="H27" s="123"/>
      <c r="I27" s="123"/>
      <c r="J27" s="123"/>
      <c r="K27" s="123"/>
      <c r="L27" s="123"/>
      <c r="M27" s="123"/>
    </row>
    <row r="28" spans="2:13" x14ac:dyDescent="0.35">
      <c r="B28" s="125"/>
      <c r="C28" s="123"/>
      <c r="D28" s="123"/>
      <c r="E28" s="123"/>
      <c r="F28" s="123"/>
      <c r="G28" s="123"/>
      <c r="H28" s="123"/>
      <c r="I28" s="123"/>
      <c r="J28" s="123"/>
      <c r="K28" s="123"/>
      <c r="L28" s="123"/>
      <c r="M28" s="123"/>
    </row>
    <row r="29" spans="2:13" x14ac:dyDescent="0.35">
      <c r="B29" s="125"/>
      <c r="C29" s="123"/>
      <c r="D29" s="123"/>
      <c r="E29" s="123"/>
      <c r="F29" s="123"/>
      <c r="G29" s="123"/>
      <c r="H29" s="123"/>
      <c r="I29" s="123"/>
      <c r="J29" s="123"/>
      <c r="K29" s="123"/>
      <c r="L29" s="123"/>
      <c r="M29" s="123"/>
    </row>
    <row r="30" spans="2:13" x14ac:dyDescent="0.35">
      <c r="B30" s="125"/>
      <c r="C30" s="123"/>
      <c r="D30" s="123"/>
      <c r="E30" s="123"/>
      <c r="F30" s="123"/>
      <c r="G30" s="123"/>
      <c r="H30" s="123"/>
      <c r="I30" s="123"/>
      <c r="J30" s="123"/>
      <c r="K30" s="123"/>
      <c r="L30" s="123"/>
      <c r="M30" s="123"/>
    </row>
    <row r="31" spans="2:13" x14ac:dyDescent="0.35">
      <c r="B31" s="125"/>
      <c r="C31" s="123"/>
      <c r="D31" s="123"/>
      <c r="E31" s="123"/>
      <c r="F31" s="123"/>
      <c r="G31" s="123"/>
      <c r="H31" s="123"/>
      <c r="I31" s="123"/>
      <c r="J31" s="123"/>
      <c r="K31" s="123"/>
      <c r="L31" s="123"/>
      <c r="M31" s="123"/>
    </row>
    <row r="32" spans="2:13" x14ac:dyDescent="0.35">
      <c r="B32" s="125"/>
      <c r="C32" s="123"/>
      <c r="D32" s="123"/>
      <c r="E32" s="123"/>
      <c r="F32" s="123"/>
      <c r="G32" s="123"/>
      <c r="H32" s="123"/>
      <c r="I32" s="123"/>
      <c r="J32" s="123"/>
      <c r="K32" s="123"/>
      <c r="L32" s="123"/>
      <c r="M32" s="123"/>
    </row>
    <row r="33" spans="2:13" x14ac:dyDescent="0.35">
      <c r="B33" s="125"/>
      <c r="C33" s="123"/>
      <c r="D33" s="123"/>
      <c r="E33" s="123"/>
      <c r="F33" s="123"/>
      <c r="G33" s="123"/>
      <c r="H33" s="123"/>
      <c r="I33" s="123"/>
      <c r="J33" s="123"/>
      <c r="K33" s="123"/>
      <c r="L33" s="123"/>
      <c r="M33" s="123"/>
    </row>
    <row r="34" spans="2:13" x14ac:dyDescent="0.35">
      <c r="B34" s="125"/>
      <c r="C34" s="123"/>
      <c r="D34" s="123"/>
      <c r="E34" s="123"/>
      <c r="F34" s="123"/>
      <c r="G34" s="123"/>
      <c r="H34" s="123"/>
      <c r="I34" s="123"/>
      <c r="J34" s="123"/>
      <c r="K34" s="123"/>
      <c r="L34" s="123"/>
      <c r="M34" s="123"/>
    </row>
    <row r="35" spans="2:13" x14ac:dyDescent="0.35">
      <c r="B35" s="125"/>
      <c r="C35" s="123"/>
      <c r="D35" s="123"/>
      <c r="E35" s="123"/>
      <c r="F35" s="123"/>
      <c r="G35" s="123"/>
      <c r="H35" s="123"/>
      <c r="I35" s="123"/>
      <c r="J35" s="123"/>
      <c r="K35" s="123"/>
      <c r="L35" s="123"/>
      <c r="M35" s="123"/>
    </row>
    <row r="36" spans="2:13" x14ac:dyDescent="0.35">
      <c r="B36" s="125"/>
      <c r="C36" s="123"/>
      <c r="D36" s="123"/>
      <c r="E36" s="123"/>
      <c r="F36" s="123"/>
      <c r="G36" s="123"/>
      <c r="H36" s="123"/>
      <c r="I36" s="123"/>
      <c r="J36" s="123"/>
      <c r="K36" s="123"/>
      <c r="L36" s="123"/>
      <c r="M36" s="123"/>
    </row>
    <row r="37" spans="2:13" x14ac:dyDescent="0.35">
      <c r="B37" s="125"/>
      <c r="C37" s="123"/>
      <c r="D37" s="123"/>
      <c r="E37" s="123"/>
      <c r="F37" s="123"/>
      <c r="G37" s="123"/>
      <c r="H37" s="123"/>
      <c r="I37" s="123"/>
      <c r="J37" s="123"/>
      <c r="K37" s="123"/>
      <c r="L37" s="123"/>
      <c r="M37" s="123"/>
    </row>
    <row r="38" spans="2:13" x14ac:dyDescent="0.35">
      <c r="B38" s="125"/>
      <c r="C38" s="123"/>
      <c r="D38" s="123"/>
      <c r="E38" s="123"/>
      <c r="F38" s="123"/>
      <c r="G38" s="123"/>
      <c r="H38" s="123"/>
      <c r="I38" s="123"/>
      <c r="J38" s="123"/>
      <c r="K38" s="123"/>
      <c r="L38" s="123"/>
      <c r="M38" s="123"/>
    </row>
    <row r="39" spans="2:13" x14ac:dyDescent="0.35">
      <c r="B39" s="125"/>
      <c r="C39" s="123"/>
      <c r="D39" s="123"/>
      <c r="E39" s="123"/>
      <c r="F39" s="123"/>
      <c r="G39" s="123"/>
      <c r="H39" s="123"/>
      <c r="I39" s="123"/>
      <c r="J39" s="123"/>
      <c r="K39" s="123"/>
      <c r="L39" s="123"/>
      <c r="M39" s="123"/>
    </row>
    <row r="40" spans="2:13" x14ac:dyDescent="0.35">
      <c r="B40" s="125"/>
      <c r="C40" s="123"/>
      <c r="D40" s="123"/>
      <c r="E40" s="123"/>
      <c r="F40" s="123"/>
      <c r="G40" s="123"/>
      <c r="H40" s="123"/>
      <c r="I40" s="123"/>
      <c r="J40" s="123"/>
      <c r="K40" s="123"/>
      <c r="L40" s="123"/>
      <c r="M40" s="123"/>
    </row>
    <row r="41" spans="2:13" x14ac:dyDescent="0.35">
      <c r="B41" s="125"/>
      <c r="C41" s="123"/>
      <c r="D41" s="123"/>
      <c r="E41" s="123"/>
      <c r="F41" s="123"/>
      <c r="G41" s="123"/>
      <c r="H41" s="123"/>
      <c r="I41" s="123"/>
      <c r="J41" s="123"/>
      <c r="K41" s="123"/>
      <c r="L41" s="123"/>
      <c r="M41" s="123"/>
    </row>
    <row r="42" spans="2:13" x14ac:dyDescent="0.35">
      <c r="B42" s="125"/>
      <c r="C42" s="123"/>
      <c r="D42" s="123"/>
      <c r="E42" s="123"/>
      <c r="F42" s="123"/>
      <c r="G42" s="123"/>
      <c r="H42" s="123"/>
      <c r="I42" s="123"/>
      <c r="J42" s="123"/>
      <c r="K42" s="123"/>
      <c r="L42" s="123"/>
      <c r="M42" s="123"/>
    </row>
    <row r="43" spans="2:13" x14ac:dyDescent="0.35">
      <c r="B43" s="125"/>
      <c r="C43" s="123"/>
      <c r="D43" s="123"/>
      <c r="E43" s="123"/>
      <c r="F43" s="123"/>
      <c r="G43" s="123"/>
      <c r="H43" s="123"/>
      <c r="I43" s="123"/>
      <c r="J43" s="123"/>
      <c r="K43" s="123"/>
      <c r="L43" s="123"/>
      <c r="M43" s="123"/>
    </row>
    <row r="44" spans="2:13" x14ac:dyDescent="0.35">
      <c r="B44" s="125"/>
      <c r="C44" s="123"/>
      <c r="D44" s="123"/>
      <c r="E44" s="123"/>
      <c r="F44" s="123"/>
      <c r="G44" s="123"/>
      <c r="H44" s="123"/>
      <c r="I44" s="123"/>
      <c r="J44" s="123"/>
      <c r="K44" s="123"/>
      <c r="L44" s="123"/>
      <c r="M44" s="123"/>
    </row>
    <row r="45" spans="2:13" x14ac:dyDescent="0.35">
      <c r="B45" s="125"/>
      <c r="C45" s="123"/>
      <c r="D45" s="123"/>
      <c r="E45" s="123"/>
      <c r="F45" s="123"/>
      <c r="G45" s="123"/>
      <c r="H45" s="123"/>
      <c r="I45" s="123"/>
      <c r="J45" s="123"/>
      <c r="K45" s="123"/>
      <c r="L45" s="123"/>
      <c r="M45" s="123"/>
    </row>
    <row r="46" spans="2:13" x14ac:dyDescent="0.35">
      <c r="B46" s="125"/>
      <c r="C46" s="123"/>
      <c r="D46" s="123"/>
      <c r="E46" s="123"/>
      <c r="F46" s="123"/>
      <c r="G46" s="123"/>
      <c r="H46" s="123"/>
      <c r="I46" s="123"/>
      <c r="J46" s="123"/>
      <c r="K46" s="123"/>
      <c r="L46" s="123"/>
      <c r="M46" s="123"/>
    </row>
    <row r="47" spans="2:13" x14ac:dyDescent="0.35">
      <c r="B47" s="125"/>
      <c r="C47" s="123"/>
      <c r="D47" s="123"/>
      <c r="E47" s="123"/>
      <c r="F47" s="123"/>
      <c r="G47" s="123"/>
      <c r="H47" s="123"/>
      <c r="I47" s="123"/>
      <c r="J47" s="123"/>
      <c r="K47" s="123"/>
      <c r="L47" s="123"/>
      <c r="M47" s="123"/>
    </row>
    <row r="48" spans="2:13" x14ac:dyDescent="0.35">
      <c r="B48" s="125"/>
      <c r="C48" s="123"/>
      <c r="D48" s="123"/>
      <c r="E48" s="123"/>
      <c r="F48" s="123"/>
      <c r="G48" s="123"/>
      <c r="H48" s="123"/>
      <c r="I48" s="123"/>
      <c r="J48" s="123"/>
      <c r="K48" s="123"/>
      <c r="L48" s="123"/>
      <c r="M48" s="123"/>
    </row>
    <row r="49" spans="2:13" x14ac:dyDescent="0.35">
      <c r="B49" s="125"/>
      <c r="C49" s="123"/>
      <c r="D49" s="123"/>
      <c r="E49" s="123"/>
      <c r="F49" s="123"/>
      <c r="G49" s="123"/>
      <c r="H49" s="123"/>
      <c r="I49" s="123"/>
      <c r="J49" s="123"/>
      <c r="K49" s="123"/>
      <c r="L49" s="123"/>
      <c r="M49" s="123"/>
    </row>
    <row r="50" spans="2:13" x14ac:dyDescent="0.35">
      <c r="B50" s="125"/>
      <c r="C50" s="123"/>
      <c r="D50" s="123"/>
      <c r="E50" s="123"/>
      <c r="F50" s="123"/>
      <c r="G50" s="123"/>
      <c r="H50" s="123"/>
      <c r="I50" s="123"/>
      <c r="J50" s="123"/>
      <c r="K50" s="123"/>
      <c r="L50" s="123"/>
      <c r="M50" s="123"/>
    </row>
    <row r="51" spans="2:13" x14ac:dyDescent="0.35">
      <c r="B51" s="125"/>
      <c r="C51" s="123"/>
      <c r="D51" s="123"/>
      <c r="E51" s="123"/>
      <c r="F51" s="123"/>
      <c r="G51" s="123"/>
      <c r="H51" s="123"/>
      <c r="I51" s="123"/>
      <c r="J51" s="123"/>
      <c r="K51" s="123"/>
      <c r="L51" s="123"/>
      <c r="M51" s="123"/>
    </row>
    <row r="52" spans="2:13" x14ac:dyDescent="0.35">
      <c r="B52" s="125"/>
      <c r="C52" s="123"/>
      <c r="D52" s="123"/>
      <c r="E52" s="123"/>
      <c r="F52" s="123"/>
      <c r="G52" s="123"/>
      <c r="H52" s="123"/>
      <c r="I52" s="123"/>
      <c r="J52" s="123"/>
      <c r="K52" s="123"/>
      <c r="L52" s="123"/>
      <c r="M52" s="123"/>
    </row>
    <row r="53" spans="2:13" x14ac:dyDescent="0.35">
      <c r="B53" s="125"/>
      <c r="C53" s="123"/>
      <c r="D53" s="123"/>
      <c r="E53" s="123"/>
      <c r="F53" s="123"/>
      <c r="G53" s="123"/>
      <c r="H53" s="123"/>
      <c r="I53" s="123"/>
      <c r="J53" s="123"/>
      <c r="K53" s="123"/>
      <c r="L53" s="123"/>
      <c r="M53" s="123"/>
    </row>
    <row r="54" spans="2:13" x14ac:dyDescent="0.35">
      <c r="B54" s="125"/>
      <c r="C54" s="123"/>
      <c r="D54" s="123"/>
      <c r="E54" s="123"/>
      <c r="F54" s="123"/>
      <c r="G54" s="123"/>
      <c r="H54" s="123"/>
      <c r="I54" s="123"/>
      <c r="J54" s="123"/>
      <c r="K54" s="123"/>
      <c r="L54" s="123"/>
      <c r="M54" s="123"/>
    </row>
    <row r="55" spans="2:13" x14ac:dyDescent="0.35">
      <c r="B55" s="125"/>
      <c r="C55" s="123"/>
      <c r="D55" s="123"/>
      <c r="E55" s="123"/>
      <c r="F55" s="123"/>
      <c r="G55" s="123"/>
      <c r="H55" s="123"/>
      <c r="I55" s="123"/>
      <c r="J55" s="123"/>
      <c r="K55" s="123"/>
      <c r="L55" s="123"/>
      <c r="M55" s="123"/>
    </row>
    <row r="56" spans="2:13" x14ac:dyDescent="0.35">
      <c r="B56" s="125"/>
      <c r="C56" s="123"/>
      <c r="D56" s="123"/>
      <c r="E56" s="123"/>
      <c r="F56" s="123"/>
      <c r="G56" s="123"/>
      <c r="H56" s="123"/>
      <c r="I56" s="123"/>
      <c r="J56" s="123"/>
      <c r="K56" s="123"/>
      <c r="L56" s="123"/>
      <c r="M56" s="123"/>
    </row>
    <row r="57" spans="2:13" x14ac:dyDescent="0.35">
      <c r="B57" s="125"/>
      <c r="C57" s="123"/>
      <c r="D57" s="123"/>
      <c r="E57" s="123"/>
      <c r="F57" s="123"/>
      <c r="G57" s="123"/>
      <c r="H57" s="123"/>
      <c r="I57" s="123"/>
      <c r="J57" s="123"/>
      <c r="K57" s="123"/>
      <c r="L57" s="123"/>
      <c r="M57" s="123"/>
    </row>
    <row r="58" spans="2:13" x14ac:dyDescent="0.35">
      <c r="B58" s="125"/>
      <c r="C58" s="123"/>
      <c r="D58" s="123"/>
      <c r="E58" s="123"/>
      <c r="F58" s="123"/>
      <c r="G58" s="123"/>
      <c r="H58" s="123"/>
      <c r="I58" s="123"/>
      <c r="J58" s="123"/>
      <c r="K58" s="123"/>
      <c r="L58" s="123"/>
      <c r="M58" s="123"/>
    </row>
    <row r="59" spans="2:13" x14ac:dyDescent="0.35">
      <c r="B59" s="125"/>
      <c r="C59" s="123"/>
      <c r="D59" s="123"/>
      <c r="E59" s="123"/>
      <c r="F59" s="123"/>
      <c r="G59" s="123"/>
      <c r="H59" s="123"/>
      <c r="I59" s="123"/>
      <c r="J59" s="123"/>
      <c r="K59" s="123"/>
      <c r="L59" s="123"/>
      <c r="M59" s="123"/>
    </row>
    <row r="60" spans="2:13" x14ac:dyDescent="0.35">
      <c r="B60" s="125"/>
      <c r="C60" s="123"/>
      <c r="D60" s="123"/>
      <c r="E60" s="123"/>
      <c r="F60" s="123"/>
      <c r="G60" s="123"/>
      <c r="H60" s="123"/>
      <c r="I60" s="123"/>
      <c r="J60" s="123"/>
      <c r="K60" s="123"/>
      <c r="L60" s="123"/>
      <c r="M60" s="123"/>
    </row>
    <row r="61" spans="2:13" x14ac:dyDescent="0.35">
      <c r="B61" s="125"/>
      <c r="C61" s="123"/>
      <c r="D61" s="123"/>
      <c r="E61" s="123"/>
      <c r="F61" s="123"/>
      <c r="G61" s="123"/>
      <c r="H61" s="123"/>
      <c r="I61" s="123"/>
      <c r="J61" s="123"/>
      <c r="K61" s="123"/>
      <c r="L61" s="123"/>
      <c r="M61" s="123"/>
    </row>
    <row r="62" spans="2:13" x14ac:dyDescent="0.35">
      <c r="B62" s="125"/>
      <c r="C62" s="123"/>
      <c r="D62" s="123"/>
      <c r="E62" s="123"/>
      <c r="F62" s="123"/>
      <c r="G62" s="123"/>
      <c r="H62" s="123"/>
      <c r="I62" s="123"/>
      <c r="J62" s="123"/>
      <c r="K62" s="123"/>
      <c r="L62" s="123"/>
      <c r="M62" s="123"/>
    </row>
    <row r="63" spans="2:13" x14ac:dyDescent="0.35">
      <c r="B63" s="125"/>
      <c r="C63" s="123"/>
      <c r="D63" s="123"/>
      <c r="E63" s="123"/>
      <c r="F63" s="123"/>
      <c r="G63" s="123"/>
      <c r="H63" s="123"/>
      <c r="I63" s="123"/>
      <c r="J63" s="123"/>
      <c r="K63" s="123"/>
      <c r="L63" s="123"/>
      <c r="M63" s="123"/>
    </row>
    <row r="64" spans="2:13" x14ac:dyDescent="0.35">
      <c r="B64" s="125"/>
      <c r="C64" s="123"/>
      <c r="D64" s="123"/>
      <c r="E64" s="123"/>
      <c r="F64" s="123"/>
      <c r="G64" s="123"/>
      <c r="H64" s="123"/>
      <c r="I64" s="123"/>
      <c r="J64" s="123"/>
      <c r="K64" s="123"/>
      <c r="L64" s="123"/>
      <c r="M64" s="123"/>
    </row>
    <row r="65" spans="2:13" x14ac:dyDescent="0.35">
      <c r="B65" s="125"/>
      <c r="C65" s="123"/>
      <c r="D65" s="123"/>
      <c r="E65" s="123"/>
      <c r="F65" s="123"/>
      <c r="G65" s="123"/>
      <c r="H65" s="123"/>
      <c r="I65" s="123"/>
      <c r="J65" s="123"/>
      <c r="K65" s="123"/>
      <c r="L65" s="123"/>
      <c r="M65" s="123"/>
    </row>
    <row r="66" spans="2:13" x14ac:dyDescent="0.35">
      <c r="C66" s="27"/>
      <c r="D66" s="27"/>
      <c r="E66" s="27"/>
      <c r="F66" s="27"/>
      <c r="G66" s="27"/>
      <c r="H66" s="27"/>
      <c r="I66" s="27"/>
      <c r="J66" s="27"/>
      <c r="K66" s="27"/>
      <c r="L66" s="27"/>
      <c r="M66" s="27"/>
    </row>
    <row r="67" spans="2:13" x14ac:dyDescent="0.35">
      <c r="C67" s="27"/>
      <c r="D67" s="27"/>
      <c r="E67" s="27"/>
      <c r="F67" s="27"/>
      <c r="G67" s="27"/>
      <c r="H67" s="27"/>
      <c r="I67" s="27"/>
      <c r="J67" s="27"/>
      <c r="K67" s="27"/>
      <c r="L67" s="27"/>
      <c r="M67" s="27"/>
    </row>
  </sheetData>
  <mergeCells count="2">
    <mergeCell ref="B2:C2"/>
    <mergeCell ref="L4:M4"/>
  </mergeCells>
  <conditionalFormatting sqref="C8:M1000">
    <cfRule type="cellIs" dxfId="34" priority="2" operator="lessThan">
      <formula>0</formula>
    </cfRule>
    <cfRule type="cellIs" dxfId="33" priority="3" operator="greaterThan">
      <formula>0</formula>
    </cfRule>
  </conditionalFormatting>
  <conditionalFormatting sqref="B8:B1048576">
    <cfRule type="notContainsBlanks" dxfId="32" priority="1">
      <formula>LEN(TRIM(B8))&gt;0</formula>
    </cfRule>
  </conditionalFormatting>
  <hyperlinks>
    <hyperlink ref="L4:M4" location="'NPV Project'!A1" display="Go to NPV Project" xr:uid="{D4796ABB-476A-4800-AB6A-6F3B6C7E1058}"/>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9DA5-BA5B-48AA-AFFC-06008372AA8A}">
  <sheetPr codeName="Sheet4"/>
  <dimension ref="B1:M116"/>
  <sheetViews>
    <sheetView showGridLines="0" workbookViewId="0">
      <selection activeCell="G21" sqref="G21"/>
    </sheetView>
  </sheetViews>
  <sheetFormatPr defaultRowHeight="14.5" x14ac:dyDescent="0.35"/>
  <cols>
    <col min="2" max="2" width="13.26953125" bestFit="1" customWidth="1"/>
    <col min="3" max="3" width="14.7265625" bestFit="1" customWidth="1"/>
    <col min="4" max="13" width="13.1796875" bestFit="1" customWidth="1"/>
  </cols>
  <sheetData>
    <row r="1" spans="2:13" ht="15" thickBot="1" x14ac:dyDescent="0.4"/>
    <row r="2" spans="2:13" ht="15" thickBot="1" x14ac:dyDescent="0.4">
      <c r="B2" s="174" t="s">
        <v>17</v>
      </c>
      <c r="C2" s="175"/>
    </row>
    <row r="4" spans="2:13" x14ac:dyDescent="0.35">
      <c r="B4" s="20" t="s">
        <v>15</v>
      </c>
      <c r="C4" s="109">
        <v>0.05</v>
      </c>
      <c r="L4" s="176" t="s">
        <v>18</v>
      </c>
      <c r="M4" s="176"/>
    </row>
    <row r="6" spans="2:13" x14ac:dyDescent="0.35">
      <c r="B6" s="19" t="s">
        <v>14</v>
      </c>
      <c r="C6" s="19">
        <v>0</v>
      </c>
      <c r="D6" s="19">
        <v>1</v>
      </c>
      <c r="E6" s="19">
        <v>2</v>
      </c>
      <c r="F6" s="19">
        <v>3</v>
      </c>
      <c r="G6" s="19">
        <v>4</v>
      </c>
      <c r="H6" s="19">
        <v>5</v>
      </c>
      <c r="I6" s="19">
        <v>6</v>
      </c>
      <c r="J6" s="19">
        <v>7</v>
      </c>
      <c r="K6" s="19">
        <v>8</v>
      </c>
      <c r="L6" s="19">
        <v>9</v>
      </c>
      <c r="M6" s="19">
        <v>10</v>
      </c>
    </row>
    <row r="7" spans="2:13" x14ac:dyDescent="0.35">
      <c r="B7" s="2" t="s">
        <v>42</v>
      </c>
    </row>
    <row r="8" spans="2:13" x14ac:dyDescent="0.35">
      <c r="B8" s="122" t="s">
        <v>0</v>
      </c>
      <c r="C8" s="138">
        <f>IF(B8="","",'Cash Flow of Project'!C8)</f>
        <v>-300000</v>
      </c>
      <c r="D8" s="138">
        <f ca="1">IF($B8="","",IF('Cash Flow of Project'!D8="","",NPV($C$4,OFFSET('Cash Flow of Project'!$D8,0,0,1,D$6))+$C8))</f>
        <v>-261904.76190476189</v>
      </c>
      <c r="E8" s="138">
        <f ca="1">IF($B8="","",IF('Cash Flow of Project'!E8="","",NPV($C$4,OFFSET('Cash Flow of Project'!$D8,0,0,1,E$6))+$C8))</f>
        <v>-225623.58276643991</v>
      </c>
      <c r="F8" s="138">
        <f ca="1">IF($B8="","",IF('Cash Flow of Project'!F8="","",NPV($C$4,OFFSET('Cash Flow of Project'!$D8,0,0,1,F$6))+$C8))</f>
        <v>-191070.07882518088</v>
      </c>
      <c r="G8" s="138">
        <f ca="1">IF($B8="","",IF('Cash Flow of Project'!G8="","",NPV($C$4,OFFSET('Cash Flow of Project'!$D8,0,0,1,G$6))+$C8))</f>
        <v>-158161.97983350561</v>
      </c>
      <c r="H8" s="138">
        <f ca="1">IF($B8="","",IF('Cash Flow of Project'!H8="","",NPV($C$4,OFFSET('Cash Flow of Project'!$D8,0,0,1,H$6))+$C8))</f>
        <v>-126820.93317476727</v>
      </c>
      <c r="I8" s="138">
        <f ca="1">IF($B8="","",IF('Cash Flow of Project'!I8="","",NPV($C$4,OFFSET('Cash Flow of Project'!$D8,0,0,1,I$6))+$C8))</f>
        <v>-96972.317309302161</v>
      </c>
      <c r="J8" s="138">
        <f ca="1">IF($B8="","",IF('Cash Flow of Project'!J8="","",NPV($C$4,OFFSET('Cash Flow of Project'!$D8,0,0,1,J$6))+$C8))</f>
        <v>-68545.064104097313</v>
      </c>
      <c r="K8" s="138">
        <f ca="1">IF($B8="","",IF('Cash Flow of Project'!K8="","",NPV($C$4,OFFSET('Cash Flow of Project'!$D8,0,0,1,K$6))+$C8))</f>
        <v>-41471.489622949826</v>
      </c>
      <c r="L8" s="138">
        <f ca="1">IF($B8="","",IF('Cash Flow of Project'!L8="","",NPV($C$4,OFFSET('Cash Flow of Project'!$D8,0,0,1,L$6))+$C8))</f>
        <v>-15687.13297423796</v>
      </c>
      <c r="M8" s="138">
        <f ca="1">IF($B8="","",IF('Cash Flow of Project'!M8="","",NPV($C$4,OFFSET('Cash Flow of Project'!$D8,0,0,1,M$6))+$C8))</f>
        <v>8869.3971673924243</v>
      </c>
    </row>
    <row r="9" spans="2:13" x14ac:dyDescent="0.35">
      <c r="B9" s="122" t="s">
        <v>1</v>
      </c>
      <c r="C9" s="138">
        <f>IF(B9="","",'Cash Flow of Project'!C9)</f>
        <v>-1000000</v>
      </c>
      <c r="D9" s="138">
        <f ca="1">IF($B9="","",IF('Cash Flow of Project'!D9="","",NPV($C$4,OFFSET('Cash Flow of Project'!$D9,0,0,1,D$6))+$C9))</f>
        <v>-857142.85714285716</v>
      </c>
      <c r="E9" s="138">
        <f ca="1">IF($B9="","",IF('Cash Flow of Project'!E9="","",NPV($C$4,OFFSET('Cash Flow of Project'!$D9,0,0,1,E$6))+$C9))</f>
        <v>-721088.4353741497</v>
      </c>
      <c r="F9" s="138">
        <f ca="1">IF($B9="","",IF('Cash Flow of Project'!F9="","",NPV($C$4,OFFSET('Cash Flow of Project'!$D9,0,0,1,F$6))+$C9))</f>
        <v>-591512.79559442832</v>
      </c>
      <c r="G9" s="138">
        <f ca="1">IF($B9="","",IF('Cash Flow of Project'!G9="","",NPV($C$4,OFFSET('Cash Flow of Project'!$D9,0,0,1,G$6))+$C9))</f>
        <v>-468107.42437564605</v>
      </c>
      <c r="H9" s="138">
        <f ca="1">IF($B9="","",IF('Cash Flow of Project'!H9="","",NPV($C$4,OFFSET('Cash Flow of Project'!$D9,0,0,1,H$6))+$C9))</f>
        <v>-350578.4994053772</v>
      </c>
      <c r="I9" s="138">
        <f ca="1">IF($B9="","",IF('Cash Flow of Project'!I9="","",NPV($C$4,OFFSET('Cash Flow of Project'!$D9,0,0,1,I$6))+$C9))</f>
        <v>-238646.18990988308</v>
      </c>
      <c r="J9" s="138">
        <f ca="1">IF($B9="","",IF('Cash Flow of Project'!J9="","",NPV($C$4,OFFSET('Cash Flow of Project'!$D9,0,0,1,J$6))+$C9))</f>
        <v>-132043.9903903649</v>
      </c>
      <c r="K9" s="138">
        <f ca="1">IF($B9="","",IF('Cash Flow of Project'!K9="","",NPV($C$4,OFFSET('Cash Flow of Project'!$D9,0,0,1,K$6))+$C9))</f>
        <v>-30518.0860860619</v>
      </c>
      <c r="L9" s="138">
        <f ca="1">IF($B9="","",IF('Cash Flow of Project'!L9="","",NPV($C$4,OFFSET('Cash Flow of Project'!$D9,0,0,1,L$6))+$C9))</f>
        <v>66173.251346607693</v>
      </c>
      <c r="M9" s="138">
        <f ca="1">IF($B9="","",IF('Cash Flow of Project'!M9="","",NPV($C$4,OFFSET('Cash Flow of Project'!$D9,0,0,1,M$6))+$C9))</f>
        <v>158260.23937772168</v>
      </c>
    </row>
    <row r="10" spans="2:13" x14ac:dyDescent="0.35">
      <c r="B10" s="122" t="s">
        <v>2</v>
      </c>
      <c r="C10" s="138">
        <f>IF(B10="","",'Cash Flow of Project'!C10)</f>
        <v>-500000</v>
      </c>
      <c r="D10" s="138">
        <f ca="1">IF($B10="","",IF('Cash Flow of Project'!D10="","",NPV($C$4,OFFSET('Cash Flow of Project'!$D10,0,0,1,D$6))+$C10))</f>
        <v>-309523.80952380953</v>
      </c>
      <c r="E10" s="138">
        <f ca="1">IF($B10="","",IF('Cash Flow of Project'!E10="","",NPV($C$4,OFFSET('Cash Flow of Project'!$D10,0,0,1,E$6))+$C10))</f>
        <v>-128117.91383219959</v>
      </c>
      <c r="F10" s="138">
        <f ca="1">IF($B10="","",IF('Cash Flow of Project'!F10="","",NPV($C$4,OFFSET('Cash Flow of Project'!$D10,0,0,1,F$6))+$C10))</f>
        <v>44649.605874095694</v>
      </c>
      <c r="G10" s="138">
        <f ca="1">IF($B10="","",IF('Cash Flow of Project'!G10="","",NPV($C$4,OFFSET('Cash Flow of Project'!$D10,0,0,1,G$6))+$C10))</f>
        <v>209190.10083247209</v>
      </c>
      <c r="H10" s="138">
        <f ca="1">IF($B10="","",IF('Cash Flow of Project'!H10="","",NPV($C$4,OFFSET('Cash Flow of Project'!$D10,0,0,1,H$6))+$C10))</f>
        <v>365895.33412616386</v>
      </c>
      <c r="I10" s="138">
        <f ca="1">IF($B10="","",IF('Cash Flow of Project'!I10="","",NPV($C$4,OFFSET('Cash Flow of Project'!$D10,0,0,1,I$6))+$C10))</f>
        <v>515138.41345348919</v>
      </c>
      <c r="J10" s="138">
        <f ca="1">IF($B10="","",IF('Cash Flow of Project'!J10="","",NPV($C$4,OFFSET('Cash Flow of Project'!$D10,0,0,1,J$6))+$C10))</f>
        <v>657274.67947951355</v>
      </c>
      <c r="K10" s="138">
        <f ca="1">IF($B10="","",IF('Cash Flow of Project'!K10="","",NPV($C$4,OFFSET('Cash Flow of Project'!$D10,0,0,1,K$6))+$C10))</f>
        <v>792642.55188525096</v>
      </c>
      <c r="L10" s="138" t="str">
        <f ca="1">IF($B10="","",IF('Cash Flow of Project'!L10="","",NPV($C$4,OFFSET('Cash Flow of Project'!$D10,0,0,1,L$6))+$C10))</f>
        <v/>
      </c>
      <c r="M10" s="138" t="str">
        <f ca="1">IF($B10="","",IF('Cash Flow of Project'!M10="","",NPV($C$4,OFFSET('Cash Flow of Project'!$D10,0,0,1,M$6))+$C10))</f>
        <v/>
      </c>
    </row>
    <row r="11" spans="2:13" x14ac:dyDescent="0.35">
      <c r="B11" s="122" t="s">
        <v>3</v>
      </c>
      <c r="C11" s="138">
        <f>IF(B11="","",'Cash Flow of Project'!C11)</f>
        <v>-10000</v>
      </c>
      <c r="D11" s="138">
        <f ca="1">IF($B11="","",IF('Cash Flow of Project'!D11="","",NPV($C$4,OFFSET('Cash Flow of Project'!$D11,0,0,1,D$6))+$C11))</f>
        <v>-8095.2380952380954</v>
      </c>
      <c r="E11" s="138">
        <f ca="1">IF($B11="","",IF('Cash Flow of Project'!E11="","",NPV($C$4,OFFSET('Cash Flow of Project'!$D11,0,0,1,E$6))+$C11))</f>
        <v>-6281.1791383219952</v>
      </c>
      <c r="F11" s="138">
        <f ca="1">IF($B11="","",IF('Cash Flow of Project'!F11="","",NPV($C$4,OFFSET('Cash Flow of Project'!$D11,0,0,1,F$6))+$C11))</f>
        <v>-4553.5039412590431</v>
      </c>
      <c r="G11" s="138">
        <f ca="1">IF($B11="","",IF('Cash Flow of Project'!G11="","",NPV($C$4,OFFSET('Cash Flow of Project'!$D11,0,0,1,G$6))+$C11))</f>
        <v>-2908.0989916752796</v>
      </c>
      <c r="H11" s="138">
        <f ca="1">IF($B11="","",IF('Cash Flow of Project'!H11="","",NPV($C$4,OFFSET('Cash Flow of Project'!$D11,0,0,1,H$6))+$C11))</f>
        <v>-1341.0466587383617</v>
      </c>
      <c r="I11" s="138">
        <f ca="1">IF($B11="","",IF('Cash Flow of Project'!I11="","",NPV($C$4,OFFSET('Cash Flow of Project'!$D11,0,0,1,I$6))+$C11))</f>
        <v>151.38413453489375</v>
      </c>
      <c r="J11" s="138">
        <f ca="1">IF($B11="","",IF('Cash Flow of Project'!J11="","",NPV($C$4,OFFSET('Cash Flow of Project'!$D11,0,0,1,J$6))+$C11))</f>
        <v>1572.7467947951372</v>
      </c>
      <c r="K11" s="138">
        <f ca="1">IF($B11="","",IF('Cash Flow of Project'!K11="","",NPV($C$4,OFFSET('Cash Flow of Project'!$D11,0,0,1,K$6))+$C11))</f>
        <v>2926.4255188525112</v>
      </c>
      <c r="L11" s="138">
        <f ca="1">IF($B11="","",IF('Cash Flow of Project'!L11="","",NPV($C$4,OFFSET('Cash Flow of Project'!$D11,0,0,1,L$6))+$C11))</f>
        <v>4215.6433512881049</v>
      </c>
      <c r="M11" s="138">
        <f ca="1">IF($B11="","",IF('Cash Flow of Project'!M11="","",NPV($C$4,OFFSET('Cash Flow of Project'!$D11,0,0,1,M$6))+$C11))</f>
        <v>5443.4698583696227</v>
      </c>
    </row>
    <row r="12" spans="2:13" x14ac:dyDescent="0.35">
      <c r="B12" s="122" t="s">
        <v>4</v>
      </c>
      <c r="C12" s="138">
        <f>IF(B12="","",'Cash Flow of Project'!C12)</f>
        <v>-15000</v>
      </c>
      <c r="D12" s="138">
        <f ca="1">IF($B12="","",IF('Cash Flow of Project'!D12="","",NPV($C$4,OFFSET('Cash Flow of Project'!$D12,0,0,1,D$6))+$C12))</f>
        <v>-12619.047619047618</v>
      </c>
      <c r="E12" s="138">
        <f ca="1">IF($B12="","",IF('Cash Flow of Project'!E12="","",NPV($C$4,OFFSET('Cash Flow of Project'!$D12,0,0,1,E$6))+$C12))</f>
        <v>-10351.473922902494</v>
      </c>
      <c r="F12" s="138">
        <f ca="1">IF($B12="","",IF('Cash Flow of Project'!F12="","",NPV($C$4,OFFSET('Cash Flow of Project'!$D12,0,0,1,F$6))+$C12))</f>
        <v>-8191.8799265738044</v>
      </c>
      <c r="G12" s="138">
        <f ca="1">IF($B12="","",IF('Cash Flow of Project'!G12="","",NPV($C$4,OFFSET('Cash Flow of Project'!$D12,0,0,1,G$6))+$C12))</f>
        <v>-6135.1237395941007</v>
      </c>
      <c r="H12" s="138">
        <f ca="1">IF($B12="","",IF('Cash Flow of Project'!H12="","",NPV($C$4,OFFSET('Cash Flow of Project'!$D12,0,0,1,H$6))+$C12))</f>
        <v>-4176.3083234229543</v>
      </c>
      <c r="I12" s="138">
        <f ca="1">IF($B12="","",IF('Cash Flow of Project'!I12="","",NPV($C$4,OFFSET('Cash Flow of Project'!$D12,0,0,1,I$6))+$C12))</f>
        <v>-2310.7698318313851</v>
      </c>
      <c r="J12" s="138">
        <f ca="1">IF($B12="","",IF('Cash Flow of Project'!J12="","",NPV($C$4,OFFSET('Cash Flow of Project'!$D12,0,0,1,J$6))+$C12))</f>
        <v>-534.06650650608208</v>
      </c>
      <c r="K12" s="138">
        <f ca="1">IF($B12="","",IF('Cash Flow of Project'!K12="","",NPV($C$4,OFFSET('Cash Flow of Project'!$D12,0,0,1,K$6))+$C12))</f>
        <v>1158.0318985656359</v>
      </c>
      <c r="L12" s="138" t="str">
        <f ca="1">IF($B12="","",IF('Cash Flow of Project'!L12="","",NPV($C$4,OFFSET('Cash Flow of Project'!$D12,0,0,1,L$6))+$C12))</f>
        <v/>
      </c>
      <c r="M12" s="138" t="str">
        <f ca="1">IF($B12="","",IF('Cash Flow of Project'!M12="","",NPV($C$4,OFFSET('Cash Flow of Project'!$D12,0,0,1,M$6))+$C12))</f>
        <v/>
      </c>
    </row>
    <row r="13" spans="2:13" x14ac:dyDescent="0.35">
      <c r="B13" s="122" t="s">
        <v>5</v>
      </c>
      <c r="C13" s="138">
        <f>IF(B13="","",'Cash Flow of Project'!C13)</f>
        <v>-100000</v>
      </c>
      <c r="D13" s="138">
        <f ca="1">IF($B13="","",IF('Cash Flow of Project'!D13="","",NPV($C$4,OFFSET('Cash Flow of Project'!$D13,0,0,1,D$6))+$C13))</f>
        <v>-76190.476190476184</v>
      </c>
      <c r="E13" s="138">
        <f ca="1">IF($B13="","",IF('Cash Flow of Project'!E13="","",NPV($C$4,OFFSET('Cash Flow of Project'!$D13,0,0,1,E$6))+$C13))</f>
        <v>-53514.739229024948</v>
      </c>
      <c r="F13" s="138">
        <f ca="1">IF($B13="","",IF('Cash Flow of Project'!F13="","",NPV($C$4,OFFSET('Cash Flow of Project'!$D13,0,0,1,F$6))+$C13))</f>
        <v>-31918.799265738038</v>
      </c>
      <c r="G13" s="138">
        <f ca="1">IF($B13="","",IF('Cash Flow of Project'!G13="","",NPV($C$4,OFFSET('Cash Flow of Project'!$D13,0,0,1,G$6))+$C13))</f>
        <v>-11351.237395940989</v>
      </c>
      <c r="H13" s="138">
        <f ca="1">IF($B13="","",IF('Cash Flow of Project'!H13="","",NPV($C$4,OFFSET('Cash Flow of Project'!$D13,0,0,1,H$6))+$C13))</f>
        <v>8236.916765770482</v>
      </c>
      <c r="I13" s="138">
        <f ca="1">IF($B13="","",IF('Cash Flow of Project'!I13="","",NPV($C$4,OFFSET('Cash Flow of Project'!$D13,0,0,1,I$6))+$C13))</f>
        <v>26892.301681686149</v>
      </c>
      <c r="J13" s="138">
        <f ca="1">IF($B13="","",IF('Cash Flow of Project'!J13="","",NPV($C$4,OFFSET('Cash Flow of Project'!$D13,0,0,1,J$6))+$C13))</f>
        <v>44659.334934939194</v>
      </c>
      <c r="K13" s="138">
        <f ca="1">IF($B13="","",IF('Cash Flow of Project'!K13="","",NPV($C$4,OFFSET('Cash Flow of Project'!$D13,0,0,1,K$6))+$C13))</f>
        <v>61580.318985656369</v>
      </c>
      <c r="L13" s="138">
        <f ca="1">IF($B13="","",IF('Cash Flow of Project'!L13="","",NPV($C$4,OFFSET('Cash Flow of Project'!$D13,0,0,1,L$6))+$C13))</f>
        <v>77695.541891101311</v>
      </c>
      <c r="M13" s="138">
        <f ca="1">IF($B13="","",IF('Cash Flow of Project'!M13="","",NPV($C$4,OFFSET('Cash Flow of Project'!$D13,0,0,1,M$6))+$C13))</f>
        <v>93043.373229620251</v>
      </c>
    </row>
    <row r="14" spans="2:13" x14ac:dyDescent="0.35">
      <c r="B14" s="122" t="s">
        <v>6</v>
      </c>
      <c r="C14" s="138">
        <f>IF(B14="","",'Cash Flow of Project'!C14)</f>
        <v>-250000</v>
      </c>
      <c r="D14" s="138">
        <f ca="1">IF($B14="","",IF('Cash Flow of Project'!D14="","",NPV($C$4,OFFSET('Cash Flow of Project'!$D14,0,0,1,D$6))+$C14))</f>
        <v>-220476.19047619047</v>
      </c>
      <c r="E14" s="138">
        <f ca="1">IF($B14="","",IF('Cash Flow of Project'!E14="","",NPV($C$4,OFFSET('Cash Flow of Project'!$D14,0,0,1,E$6))+$C14))</f>
        <v>-192358.27664399095</v>
      </c>
      <c r="F14" s="138">
        <f ca="1">IF($B14="","",IF('Cash Flow of Project'!F14="","",NPV($C$4,OFFSET('Cash Flow of Project'!$D14,0,0,1,F$6))+$C14))</f>
        <v>-165579.31108951516</v>
      </c>
      <c r="G14" s="138">
        <f ca="1">IF($B14="","",IF('Cash Flow of Project'!G14="","",NPV($C$4,OFFSET('Cash Flow of Project'!$D14,0,0,1,G$6))+$C14))</f>
        <v>-140075.53437096684</v>
      </c>
      <c r="H14" s="138">
        <f ca="1">IF($B14="","",IF('Cash Flow of Project'!H14="","",NPV($C$4,OFFSET('Cash Flow of Project'!$D14,0,0,1,H$6))+$C14))</f>
        <v>-115786.22321044462</v>
      </c>
      <c r="I14" s="138">
        <f ca="1">IF($B14="","",IF('Cash Flow of Project'!I14="","",NPV($C$4,OFFSET('Cash Flow of Project'!$D14,0,0,1,I$6))+$C14))</f>
        <v>-92653.545914709161</v>
      </c>
      <c r="J14" s="138">
        <f ca="1">IF($B14="","",IF('Cash Flow of Project'!J14="","",NPV($C$4,OFFSET('Cash Flow of Project'!$D14,0,0,1,J$6))+$C14))</f>
        <v>-70622.424680675409</v>
      </c>
      <c r="K14" s="138">
        <f ca="1">IF($B14="","",IF('Cash Flow of Project'!K14="","",NPV($C$4,OFFSET('Cash Flow of Project'!$D14,0,0,1,K$6))+$C14))</f>
        <v>-49640.40445778612</v>
      </c>
      <c r="L14" s="138">
        <f ca="1">IF($B14="","",IF('Cash Flow of Project'!L14="","",NPV($C$4,OFFSET('Cash Flow of Project'!$D14,0,0,1,L$6))+$C14))</f>
        <v>-29657.528055034403</v>
      </c>
      <c r="M14" s="138">
        <f ca="1">IF($B14="","",IF('Cash Flow of Project'!M14="","",NPV($C$4,OFFSET('Cash Flow of Project'!$D14,0,0,1,M$6))+$C14))</f>
        <v>-10626.217195270874</v>
      </c>
    </row>
    <row r="15" spans="2:13" x14ac:dyDescent="0.35">
      <c r="B15" s="122" t="s">
        <v>7</v>
      </c>
      <c r="C15" s="138">
        <f>IF(B15="","",'Cash Flow of Project'!C15)</f>
        <v>-330000</v>
      </c>
      <c r="D15" s="138">
        <f ca="1">IF($B15="","",IF('Cash Flow of Project'!D15="","",NPV($C$4,OFFSET('Cash Flow of Project'!$D15,0,0,1,D$6))+$C15))</f>
        <v>-293809.52380952379</v>
      </c>
      <c r="E15" s="138">
        <f ca="1">IF($B15="","",IF('Cash Flow of Project'!E15="","",NPV($C$4,OFFSET('Cash Flow of Project'!$D15,0,0,1,E$6))+$C15))</f>
        <v>-259342.40362811793</v>
      </c>
      <c r="F15" s="138">
        <f ca="1">IF($B15="","",IF('Cash Flow of Project'!F15="","",NPV($C$4,OFFSET('Cash Flow of Project'!$D15,0,0,1,F$6))+$C15))</f>
        <v>-226516.57488392183</v>
      </c>
      <c r="G15" s="138">
        <f ca="1">IF($B15="","",IF('Cash Flow of Project'!G15="","",NPV($C$4,OFFSET('Cash Flow of Project'!$D15,0,0,1,G$6))+$C15))</f>
        <v>-195253.88084183031</v>
      </c>
      <c r="H15" s="138">
        <f ca="1">IF($B15="","",IF('Cash Flow of Project'!H15="","",NPV($C$4,OFFSET('Cash Flow of Project'!$D15,0,0,1,H$6))+$C15))</f>
        <v>-165479.88651602887</v>
      </c>
      <c r="I15" s="138">
        <f ca="1">IF($B15="","",IF('Cash Flow of Project'!I15="","",NPV($C$4,OFFSET('Cash Flow of Project'!$D15,0,0,1,I$6))+$C15))</f>
        <v>-137123.70144383702</v>
      </c>
      <c r="J15" s="138">
        <f ca="1">IF($B15="","",IF('Cash Flow of Project'!J15="","",NPV($C$4,OFFSET('Cash Flow of Project'!$D15,0,0,1,J$6))+$C15))</f>
        <v>-110117.81089889241</v>
      </c>
      <c r="K15" s="138">
        <f ca="1">IF($B15="","",IF('Cash Flow of Project'!K15="","",NPV($C$4,OFFSET('Cash Flow of Project'!$D15,0,0,1,K$6))+$C15))</f>
        <v>-84397.91514180231</v>
      </c>
      <c r="L15" s="138">
        <f ca="1">IF($B15="","",IF('Cash Flow of Project'!L15="","",NPV($C$4,OFFSET('Cash Flow of Project'!$D15,0,0,1,L$6))+$C15))</f>
        <v>-59902.776325526007</v>
      </c>
      <c r="M15" s="138">
        <f ca="1">IF($B15="","",IF('Cash Flow of Project'!M15="","",NPV($C$4,OFFSET('Cash Flow of Project'!$D15,0,0,1,M$6))+$C15))</f>
        <v>-36574.072690977133</v>
      </c>
    </row>
    <row r="16" spans="2:13" x14ac:dyDescent="0.35">
      <c r="B16" s="130" t="s">
        <v>85</v>
      </c>
      <c r="C16" s="139">
        <f>IF(B16="","",'Cash Flow of Project'!C16)</f>
        <v>-80000</v>
      </c>
      <c r="D16" s="139">
        <f ca="1">IF($B16="","",IF('Cash Flow of Project'!D16="","",NPV($C$4,OFFSET('Cash Flow of Project'!$D16,0,0,1,D$6))+$C16))</f>
        <v>-69523.809523809527</v>
      </c>
      <c r="E16" s="139">
        <f ca="1">IF($B16="","",IF('Cash Flow of Project'!E16="","",NPV($C$4,OFFSET('Cash Flow of Project'!$D16,0,0,1,E$6))+$C16))</f>
        <v>-59546.485260770976</v>
      </c>
      <c r="F16" s="139">
        <f ca="1">IF($B16="","",IF('Cash Flow of Project'!F16="","",NPV($C$4,OFFSET('Cash Flow of Project'!$D16,0,0,1,F$6))+$C16))</f>
        <v>-50044.271676924742</v>
      </c>
      <c r="G16" s="139">
        <f ca="1">IF($B16="","",IF('Cash Flow of Project'!G16="","",NPV($C$4,OFFSET('Cash Flow of Project'!$D16,0,0,1,G$6))+$C16))</f>
        <v>-40994.544454214039</v>
      </c>
      <c r="H16" s="139">
        <f ca="1">IF($B16="","",IF('Cash Flow of Project'!H16="","",NPV($C$4,OFFSET('Cash Flow of Project'!$D16,0,0,1,H$6))+$C16))</f>
        <v>-32375.756623060995</v>
      </c>
      <c r="I16" s="139">
        <f ca="1">IF($B16="","",IF('Cash Flow of Project'!I16="","",NPV($C$4,OFFSET('Cash Flow of Project'!$D16,0,0,1,I$6))+$C16))</f>
        <v>-24167.387260058094</v>
      </c>
      <c r="J16" s="139">
        <f ca="1">IF($B16="","",IF('Cash Flow of Project'!J16="","",NPV($C$4,OFFSET('Cash Flow of Project'!$D16,0,0,1,J$6))+$C16))</f>
        <v>-16349.89262862676</v>
      </c>
      <c r="K16" s="139">
        <f ca="1">IF($B16="","",IF('Cash Flow of Project'!K16="","",NPV($C$4,OFFSET('Cash Flow of Project'!$D16,0,0,1,K$6))+$C16))</f>
        <v>-8904.6596463111928</v>
      </c>
      <c r="L16" s="139">
        <f ca="1">IF($B16="","",IF('Cash Flow of Project'!L16="","",NPV($C$4,OFFSET('Cash Flow of Project'!$D16,0,0,1,L$6))+$C16))</f>
        <v>-1813.9615679154231</v>
      </c>
      <c r="M16" s="139">
        <f ca="1">IF($B16="","",IF('Cash Flow of Project'!M16="","",NPV($C$4,OFFSET('Cash Flow of Project'!$D16,0,0,1,M$6))+$C16))</f>
        <v>4939.0842210329283</v>
      </c>
    </row>
    <row r="17" spans="2:13" x14ac:dyDescent="0.35">
      <c r="B17" s="125"/>
      <c r="C17" s="140" t="str">
        <f>IF(B17="","",'Cash Flow of Project'!C17)</f>
        <v/>
      </c>
      <c r="D17" s="140" t="str">
        <f ca="1">IF($B17="","",IF('Cash Flow of Project'!D17="","",NPV($C$4,OFFSET('Cash Flow of Project'!$D17,0,0,1,D$6))+$C17))</f>
        <v/>
      </c>
      <c r="E17" s="140" t="str">
        <f ca="1">IF($B17="","",IF('Cash Flow of Project'!E17="","",NPV($C$4,OFFSET('Cash Flow of Project'!$D17,0,0,1,E$6))+$C17))</f>
        <v/>
      </c>
      <c r="F17" s="140" t="str">
        <f ca="1">IF($B17="","",IF('Cash Flow of Project'!F17="","",NPV($C$4,OFFSET('Cash Flow of Project'!$D17,0,0,1,F$6))+$C17))</f>
        <v/>
      </c>
      <c r="G17" s="140" t="str">
        <f ca="1">IF($B17="","",IF('Cash Flow of Project'!G17="","",NPV($C$4,OFFSET('Cash Flow of Project'!$D17,0,0,1,G$6))+$C17))</f>
        <v/>
      </c>
      <c r="H17" s="140" t="str">
        <f ca="1">IF($B17="","",IF('Cash Flow of Project'!H17="","",NPV($C$4,OFFSET('Cash Flow of Project'!$D17,0,0,1,H$6))+$C17))</f>
        <v/>
      </c>
      <c r="I17" s="140" t="str">
        <f ca="1">IF($B17="","",IF('Cash Flow of Project'!I17="","",NPV($C$4,OFFSET('Cash Flow of Project'!$D17,0,0,1,I$6))+$C17))</f>
        <v/>
      </c>
      <c r="J17" s="140" t="str">
        <f ca="1">IF($B17="","",IF('Cash Flow of Project'!J17="","",NPV($C$4,OFFSET('Cash Flow of Project'!$D17,0,0,1,J$6))+$C17))</f>
        <v/>
      </c>
      <c r="K17" s="140" t="str">
        <f ca="1">IF($B17="","",IF('Cash Flow of Project'!K17="","",NPV($C$4,OFFSET('Cash Flow of Project'!$D17,0,0,1,K$6))+$C17))</f>
        <v/>
      </c>
      <c r="L17" s="140" t="str">
        <f ca="1">IF($B17="","",IF('Cash Flow of Project'!L17="","",NPV($C$4,OFFSET('Cash Flow of Project'!$D17,0,0,1,L$6))+$C17))</f>
        <v/>
      </c>
      <c r="M17" s="140" t="str">
        <f ca="1">IF($B17="","",IF('Cash Flow of Project'!M17="","",NPV($C$4,OFFSET('Cash Flow of Project'!$D17,0,0,1,M$6))+$C17))</f>
        <v/>
      </c>
    </row>
    <row r="18" spans="2:13" x14ac:dyDescent="0.35">
      <c r="B18" s="125"/>
      <c r="C18" s="140" t="str">
        <f>IF(B18="","",'Cash Flow of Project'!C18)</f>
        <v/>
      </c>
      <c r="D18" s="140" t="str">
        <f ca="1">IF($B18="","",IF('Cash Flow of Project'!D18="","",NPV($C$4,OFFSET('Cash Flow of Project'!$D18,0,0,1,D$6))+$C18))</f>
        <v/>
      </c>
      <c r="E18" s="140" t="str">
        <f ca="1">IF($B18="","",IF('Cash Flow of Project'!E18="","",NPV($C$4,OFFSET('Cash Flow of Project'!$D18,0,0,1,E$6))+$C18))</f>
        <v/>
      </c>
      <c r="F18" s="140" t="str">
        <f ca="1">IF($B18="","",IF('Cash Flow of Project'!F18="","",NPV($C$4,OFFSET('Cash Flow of Project'!$D18,0,0,1,F$6))+$C18))</f>
        <v/>
      </c>
      <c r="G18" s="140" t="str">
        <f ca="1">IF($B18="","",IF('Cash Flow of Project'!G18="","",NPV($C$4,OFFSET('Cash Flow of Project'!$D18,0,0,1,G$6))+$C18))</f>
        <v/>
      </c>
      <c r="H18" s="140" t="str">
        <f ca="1">IF($B18="","",IF('Cash Flow of Project'!H18="","",NPV($C$4,OFFSET('Cash Flow of Project'!$D18,0,0,1,H$6))+$C18))</f>
        <v/>
      </c>
      <c r="I18" s="140" t="str">
        <f ca="1">IF($B18="","",IF('Cash Flow of Project'!I18="","",NPV($C$4,OFFSET('Cash Flow of Project'!$D18,0,0,1,I$6))+$C18))</f>
        <v/>
      </c>
      <c r="J18" s="140" t="str">
        <f ca="1">IF($B18="","",IF('Cash Flow of Project'!J18="","",NPV($C$4,OFFSET('Cash Flow of Project'!$D18,0,0,1,J$6))+$C18))</f>
        <v/>
      </c>
      <c r="K18" s="140" t="str">
        <f ca="1">IF($B18="","",IF('Cash Flow of Project'!K18="","",NPV($C$4,OFFSET('Cash Flow of Project'!$D18,0,0,1,K$6))+$C18))</f>
        <v/>
      </c>
      <c r="L18" s="140" t="str">
        <f ca="1">IF($B18="","",IF('Cash Flow of Project'!L18="","",NPV($C$4,OFFSET('Cash Flow of Project'!$D18,0,0,1,L$6))+$C18))</f>
        <v/>
      </c>
      <c r="M18" s="140" t="str">
        <f ca="1">IF($B18="","",IF('Cash Flow of Project'!M18="","",NPV($C$4,OFFSET('Cash Flow of Project'!$D18,0,0,1,M$6))+$C18))</f>
        <v/>
      </c>
    </row>
    <row r="19" spans="2:13" x14ac:dyDescent="0.35">
      <c r="B19" s="125"/>
      <c r="C19" s="140" t="str">
        <f>IF(B19="","",'Cash Flow of Project'!C19)</f>
        <v/>
      </c>
      <c r="D19" s="140" t="str">
        <f ca="1">IF($B19="","",IF('Cash Flow of Project'!D19="","",NPV($C$4,OFFSET('Cash Flow of Project'!$D19,0,0,1,D$6))+$C19))</f>
        <v/>
      </c>
      <c r="E19" s="140" t="str">
        <f ca="1">IF($B19="","",IF('Cash Flow of Project'!E19="","",NPV($C$4,OFFSET('Cash Flow of Project'!$D19,0,0,1,E$6))+$C19))</f>
        <v/>
      </c>
      <c r="F19" s="140" t="str">
        <f ca="1">IF($B19="","",IF('Cash Flow of Project'!F19="","",NPV($C$4,OFFSET('Cash Flow of Project'!$D19,0,0,1,F$6))+$C19))</f>
        <v/>
      </c>
      <c r="G19" s="140" t="str">
        <f ca="1">IF($B19="","",IF('Cash Flow of Project'!G19="","",NPV($C$4,OFFSET('Cash Flow of Project'!$D19,0,0,1,G$6))+$C19))</f>
        <v/>
      </c>
      <c r="H19" s="140" t="str">
        <f ca="1">IF($B19="","",IF('Cash Flow of Project'!H19="","",NPV($C$4,OFFSET('Cash Flow of Project'!$D19,0,0,1,H$6))+$C19))</f>
        <v/>
      </c>
      <c r="I19" s="140" t="str">
        <f ca="1">IF($B19="","",IF('Cash Flow of Project'!I19="","",NPV($C$4,OFFSET('Cash Flow of Project'!$D19,0,0,1,I$6))+$C19))</f>
        <v/>
      </c>
      <c r="J19" s="140" t="str">
        <f ca="1">IF($B19="","",IF('Cash Flow of Project'!J19="","",NPV($C$4,OFFSET('Cash Flow of Project'!$D19,0,0,1,J$6))+$C19))</f>
        <v/>
      </c>
      <c r="K19" s="140" t="str">
        <f ca="1">IF($B19="","",IF('Cash Flow of Project'!K19="","",NPV($C$4,OFFSET('Cash Flow of Project'!$D19,0,0,1,K$6))+$C19))</f>
        <v/>
      </c>
      <c r="L19" s="140" t="str">
        <f ca="1">IF($B19="","",IF('Cash Flow of Project'!L19="","",NPV($C$4,OFFSET('Cash Flow of Project'!$D19,0,0,1,L$6))+$C19))</f>
        <v/>
      </c>
      <c r="M19" s="140" t="str">
        <f ca="1">IF($B19="","",IF('Cash Flow of Project'!M19="","",NPV($C$4,OFFSET('Cash Flow of Project'!$D19,0,0,1,M$6))+$C19))</f>
        <v/>
      </c>
    </row>
    <row r="20" spans="2:13" x14ac:dyDescent="0.35">
      <c r="B20" s="125"/>
      <c r="C20" s="140" t="str">
        <f>IF(B20="","",'Cash Flow of Project'!C20)</f>
        <v/>
      </c>
      <c r="D20" s="140" t="str">
        <f ca="1">IF($B20="","",IF('Cash Flow of Project'!D20="","",NPV($C$4,OFFSET('Cash Flow of Project'!$D20,0,0,1,D$6))+$C20))</f>
        <v/>
      </c>
      <c r="E20" s="140" t="str">
        <f ca="1">IF($B20="","",IF('Cash Flow of Project'!E20="","",NPV($C$4,OFFSET('Cash Flow of Project'!$D20,0,0,1,E$6))+$C20))</f>
        <v/>
      </c>
      <c r="F20" s="140" t="str">
        <f ca="1">IF($B20="","",IF('Cash Flow of Project'!F20="","",NPV($C$4,OFFSET('Cash Flow of Project'!$D20,0,0,1,F$6))+$C20))</f>
        <v/>
      </c>
      <c r="G20" s="140" t="str">
        <f ca="1">IF($B20="","",IF('Cash Flow of Project'!G20="","",NPV($C$4,OFFSET('Cash Flow of Project'!$D20,0,0,1,G$6))+$C20))</f>
        <v/>
      </c>
      <c r="H20" s="140" t="str">
        <f ca="1">IF($B20="","",IF('Cash Flow of Project'!H20="","",NPV($C$4,OFFSET('Cash Flow of Project'!$D20,0,0,1,H$6))+$C20))</f>
        <v/>
      </c>
      <c r="I20" s="140" t="str">
        <f ca="1">IF($B20="","",IF('Cash Flow of Project'!I20="","",NPV($C$4,OFFSET('Cash Flow of Project'!$D20,0,0,1,I$6))+$C20))</f>
        <v/>
      </c>
      <c r="J20" s="140" t="str">
        <f ca="1">IF($B20="","",IF('Cash Flow of Project'!J20="","",NPV($C$4,OFFSET('Cash Flow of Project'!$D20,0,0,1,J$6))+$C20))</f>
        <v/>
      </c>
      <c r="K20" s="140" t="str">
        <f ca="1">IF($B20="","",IF('Cash Flow of Project'!K20="","",NPV($C$4,OFFSET('Cash Flow of Project'!$D20,0,0,1,K$6))+$C20))</f>
        <v/>
      </c>
      <c r="L20" s="140" t="str">
        <f ca="1">IF($B20="","",IF('Cash Flow of Project'!L20="","",NPV($C$4,OFFSET('Cash Flow of Project'!$D20,0,0,1,L$6))+$C20))</f>
        <v/>
      </c>
      <c r="M20" s="140" t="str">
        <f ca="1">IF($B20="","",IF('Cash Flow of Project'!M20="","",NPV($C$4,OFFSET('Cash Flow of Project'!$D20,0,0,1,M$6))+$C20))</f>
        <v/>
      </c>
    </row>
    <row r="21" spans="2:13" x14ac:dyDescent="0.35">
      <c r="B21" s="125"/>
      <c r="C21" s="140" t="str">
        <f>IF(B21="","",'Cash Flow of Project'!C21)</f>
        <v/>
      </c>
      <c r="D21" s="140" t="str">
        <f ca="1">IF($B21="","",IF('Cash Flow of Project'!D21="","",NPV($C$4,OFFSET('Cash Flow of Project'!$D21,0,0,1,D$6))+$C21))</f>
        <v/>
      </c>
      <c r="E21" s="140" t="str">
        <f ca="1">IF($B21="","",IF('Cash Flow of Project'!E21="","",NPV($C$4,OFFSET('Cash Flow of Project'!$D21,0,0,1,E$6))+$C21))</f>
        <v/>
      </c>
      <c r="F21" s="140" t="str">
        <f ca="1">IF($B21="","",IF('Cash Flow of Project'!F21="","",NPV($C$4,OFFSET('Cash Flow of Project'!$D21,0,0,1,F$6))+$C21))</f>
        <v/>
      </c>
      <c r="G21" s="140" t="str">
        <f ca="1">IF($B21="","",IF('Cash Flow of Project'!G21="","",NPV($C$4,OFFSET('Cash Flow of Project'!$D21,0,0,1,G$6))+$C21))</f>
        <v/>
      </c>
      <c r="H21" s="140" t="str">
        <f ca="1">IF($B21="","",IF('Cash Flow of Project'!H21="","",NPV($C$4,OFFSET('Cash Flow of Project'!$D21,0,0,1,H$6))+$C21))</f>
        <v/>
      </c>
      <c r="I21" s="140" t="str">
        <f ca="1">IF($B21="","",IF('Cash Flow of Project'!I21="","",NPV($C$4,OFFSET('Cash Flow of Project'!$D21,0,0,1,I$6))+$C21))</f>
        <v/>
      </c>
      <c r="J21" s="140" t="str">
        <f ca="1">IF($B21="","",IF('Cash Flow of Project'!J21="","",NPV($C$4,OFFSET('Cash Flow of Project'!$D21,0,0,1,J$6))+$C21))</f>
        <v/>
      </c>
      <c r="K21" s="140" t="str">
        <f ca="1">IF($B21="","",IF('Cash Flow of Project'!K21="","",NPV($C$4,OFFSET('Cash Flow of Project'!$D21,0,0,1,K$6))+$C21))</f>
        <v/>
      </c>
      <c r="L21" s="140" t="str">
        <f ca="1">IF($B21="","",IF('Cash Flow of Project'!L21="","",NPV($C$4,OFFSET('Cash Flow of Project'!$D21,0,0,1,L$6))+$C21))</f>
        <v/>
      </c>
      <c r="M21" s="140" t="str">
        <f ca="1">IF($B21="","",IF('Cash Flow of Project'!M21="","",NPV($C$4,OFFSET('Cash Flow of Project'!$D21,0,0,1,M$6))+$C21))</f>
        <v/>
      </c>
    </row>
    <row r="22" spans="2:13" x14ac:dyDescent="0.35">
      <c r="B22" s="125"/>
      <c r="C22" s="140" t="str">
        <f>IF(B22="","",'Cash Flow of Project'!C22)</f>
        <v/>
      </c>
      <c r="D22" s="140" t="str">
        <f ca="1">IF($B22="","",IF('Cash Flow of Project'!D22="","",NPV($C$4,OFFSET('Cash Flow of Project'!$D22,0,0,1,D$6))+$C22))</f>
        <v/>
      </c>
      <c r="E22" s="140" t="str">
        <f ca="1">IF($B22="","",IF('Cash Flow of Project'!E22="","",NPV($C$4,OFFSET('Cash Flow of Project'!$D22,0,0,1,E$6))+$C22))</f>
        <v/>
      </c>
      <c r="F22" s="140" t="str">
        <f ca="1">IF($B22="","",IF('Cash Flow of Project'!F22="","",NPV($C$4,OFFSET('Cash Flow of Project'!$D22,0,0,1,F$6))+$C22))</f>
        <v/>
      </c>
      <c r="G22" s="140" t="str">
        <f ca="1">IF($B22="","",IF('Cash Flow of Project'!G22="","",NPV($C$4,OFFSET('Cash Flow of Project'!$D22,0,0,1,G$6))+$C22))</f>
        <v/>
      </c>
      <c r="H22" s="140" t="str">
        <f ca="1">IF($B22="","",IF('Cash Flow of Project'!H22="","",NPV($C$4,OFFSET('Cash Flow of Project'!$D22,0,0,1,H$6))+$C22))</f>
        <v/>
      </c>
      <c r="I22" s="140" t="str">
        <f ca="1">IF($B22="","",IF('Cash Flow of Project'!I22="","",NPV($C$4,OFFSET('Cash Flow of Project'!$D22,0,0,1,I$6))+$C22))</f>
        <v/>
      </c>
      <c r="J22" s="140" t="str">
        <f ca="1">IF($B22="","",IF('Cash Flow of Project'!J22="","",NPV($C$4,OFFSET('Cash Flow of Project'!$D22,0,0,1,J$6))+$C22))</f>
        <v/>
      </c>
      <c r="K22" s="140" t="str">
        <f ca="1">IF($B22="","",IF('Cash Flow of Project'!K22="","",NPV($C$4,OFFSET('Cash Flow of Project'!$D22,0,0,1,K$6))+$C22))</f>
        <v/>
      </c>
      <c r="L22" s="140" t="str">
        <f ca="1">IF($B22="","",IF('Cash Flow of Project'!L22="","",NPV($C$4,OFFSET('Cash Flow of Project'!$D22,0,0,1,L$6))+$C22))</f>
        <v/>
      </c>
      <c r="M22" s="140" t="str">
        <f ca="1">IF($B22="","",IF('Cash Flow of Project'!M22="","",NPV($C$4,OFFSET('Cash Flow of Project'!$D22,0,0,1,M$6))+$C22))</f>
        <v/>
      </c>
    </row>
    <row r="23" spans="2:13" x14ac:dyDescent="0.35">
      <c r="B23" s="125"/>
      <c r="C23" s="140" t="str">
        <f>IF(B23="","",'Cash Flow of Project'!C23)</f>
        <v/>
      </c>
      <c r="D23" s="140" t="str">
        <f ca="1">IF($B23="","",IF('Cash Flow of Project'!D23="","",NPV($C$4,OFFSET('Cash Flow of Project'!$D23,0,0,1,D$6))+$C23))</f>
        <v/>
      </c>
      <c r="E23" s="140" t="str">
        <f ca="1">IF($B23="","",IF('Cash Flow of Project'!E23="","",NPV($C$4,OFFSET('Cash Flow of Project'!$D23,0,0,1,E$6))+$C23))</f>
        <v/>
      </c>
      <c r="F23" s="140" t="str">
        <f ca="1">IF($B23="","",IF('Cash Flow of Project'!F23="","",NPV($C$4,OFFSET('Cash Flow of Project'!$D23,0,0,1,F$6))+$C23))</f>
        <v/>
      </c>
      <c r="G23" s="140" t="str">
        <f ca="1">IF($B23="","",IF('Cash Flow of Project'!G23="","",NPV($C$4,OFFSET('Cash Flow of Project'!$D23,0,0,1,G$6))+$C23))</f>
        <v/>
      </c>
      <c r="H23" s="140" t="str">
        <f ca="1">IF($B23="","",IF('Cash Flow of Project'!H23="","",NPV($C$4,OFFSET('Cash Flow of Project'!$D23,0,0,1,H$6))+$C23))</f>
        <v/>
      </c>
      <c r="I23" s="140" t="str">
        <f ca="1">IF($B23="","",IF('Cash Flow of Project'!I23="","",NPV($C$4,OFFSET('Cash Flow of Project'!$D23,0,0,1,I$6))+$C23))</f>
        <v/>
      </c>
      <c r="J23" s="140" t="str">
        <f ca="1">IF($B23="","",IF('Cash Flow of Project'!J23="","",NPV($C$4,OFFSET('Cash Flow of Project'!$D23,0,0,1,J$6))+$C23))</f>
        <v/>
      </c>
      <c r="K23" s="140" t="str">
        <f ca="1">IF($B23="","",IF('Cash Flow of Project'!K23="","",NPV($C$4,OFFSET('Cash Flow of Project'!$D23,0,0,1,K$6))+$C23))</f>
        <v/>
      </c>
      <c r="L23" s="140" t="str">
        <f ca="1">IF($B23="","",IF('Cash Flow of Project'!L23="","",NPV($C$4,OFFSET('Cash Flow of Project'!$D23,0,0,1,L$6))+$C23))</f>
        <v/>
      </c>
      <c r="M23" s="140" t="str">
        <f ca="1">IF($B23="","",IF('Cash Flow of Project'!M23="","",NPV($C$4,OFFSET('Cash Flow of Project'!$D23,0,0,1,M$6))+$C23))</f>
        <v/>
      </c>
    </row>
    <row r="24" spans="2:13" x14ac:dyDescent="0.35">
      <c r="B24" s="125"/>
      <c r="C24" s="140" t="str">
        <f>IF(B24="","",'Cash Flow of Project'!C24)</f>
        <v/>
      </c>
      <c r="D24" s="140" t="str">
        <f ca="1">IF($B24="","",IF('Cash Flow of Project'!D24="","",NPV($C$4,OFFSET('Cash Flow of Project'!$D24,0,0,1,D$6))+$C24))</f>
        <v/>
      </c>
      <c r="E24" s="140" t="str">
        <f ca="1">IF($B24="","",IF('Cash Flow of Project'!E24="","",NPV($C$4,OFFSET('Cash Flow of Project'!$D24,0,0,1,E$6))+$C24))</f>
        <v/>
      </c>
      <c r="F24" s="140" t="str">
        <f ca="1">IF($B24="","",IF('Cash Flow of Project'!F24="","",NPV($C$4,OFFSET('Cash Flow of Project'!$D24,0,0,1,F$6))+$C24))</f>
        <v/>
      </c>
      <c r="G24" s="140" t="str">
        <f ca="1">IF($B24="","",IF('Cash Flow of Project'!G24="","",NPV($C$4,OFFSET('Cash Flow of Project'!$D24,0,0,1,G$6))+$C24))</f>
        <v/>
      </c>
      <c r="H24" s="140" t="str">
        <f ca="1">IF($B24="","",IF('Cash Flow of Project'!H24="","",NPV($C$4,OFFSET('Cash Flow of Project'!$D24,0,0,1,H$6))+$C24))</f>
        <v/>
      </c>
      <c r="I24" s="140" t="str">
        <f ca="1">IF($B24="","",IF('Cash Flow of Project'!I24="","",NPV($C$4,OFFSET('Cash Flow of Project'!$D24,0,0,1,I$6))+$C24))</f>
        <v/>
      </c>
      <c r="J24" s="140" t="str">
        <f ca="1">IF($B24="","",IF('Cash Flow of Project'!J24="","",NPV($C$4,OFFSET('Cash Flow of Project'!$D24,0,0,1,J$6))+$C24))</f>
        <v/>
      </c>
      <c r="K24" s="140" t="str">
        <f ca="1">IF($B24="","",IF('Cash Flow of Project'!K24="","",NPV($C$4,OFFSET('Cash Flow of Project'!$D24,0,0,1,K$6))+$C24))</f>
        <v/>
      </c>
      <c r="L24" s="140" t="str">
        <f ca="1">IF($B24="","",IF('Cash Flow of Project'!L24="","",NPV($C$4,OFFSET('Cash Flow of Project'!$D24,0,0,1,L$6))+$C24))</f>
        <v/>
      </c>
      <c r="M24" s="140" t="str">
        <f ca="1">IF($B24="","",IF('Cash Flow of Project'!M24="","",NPV($C$4,OFFSET('Cash Flow of Project'!$D24,0,0,1,M$6))+$C24))</f>
        <v/>
      </c>
    </row>
    <row r="25" spans="2:13" x14ac:dyDescent="0.35">
      <c r="B25" s="125"/>
      <c r="C25" s="140" t="str">
        <f>IF(B25="","",'Cash Flow of Project'!C25)</f>
        <v/>
      </c>
      <c r="D25" s="140" t="str">
        <f ca="1">IF($B25="","",IF('Cash Flow of Project'!D25="","",NPV($C$4,OFFSET('Cash Flow of Project'!$D25,0,0,1,D$6))+$C25))</f>
        <v/>
      </c>
      <c r="E25" s="140" t="str">
        <f ca="1">IF($B25="","",IF('Cash Flow of Project'!E25="","",NPV($C$4,OFFSET('Cash Flow of Project'!$D25,0,0,1,E$6))+$C25))</f>
        <v/>
      </c>
      <c r="F25" s="140" t="str">
        <f ca="1">IF($B25="","",IF('Cash Flow of Project'!F25="","",NPV($C$4,OFFSET('Cash Flow of Project'!$D25,0,0,1,F$6))+$C25))</f>
        <v/>
      </c>
      <c r="G25" s="140" t="str">
        <f ca="1">IF($B25="","",IF('Cash Flow of Project'!G25="","",NPV($C$4,OFFSET('Cash Flow of Project'!$D25,0,0,1,G$6))+$C25))</f>
        <v/>
      </c>
      <c r="H25" s="140" t="str">
        <f ca="1">IF($B25="","",IF('Cash Flow of Project'!H25="","",NPV($C$4,OFFSET('Cash Flow of Project'!$D25,0,0,1,H$6))+$C25))</f>
        <v/>
      </c>
      <c r="I25" s="140" t="str">
        <f ca="1">IF($B25="","",IF('Cash Flow of Project'!I25="","",NPV($C$4,OFFSET('Cash Flow of Project'!$D25,0,0,1,I$6))+$C25))</f>
        <v/>
      </c>
      <c r="J25" s="140" t="str">
        <f ca="1">IF($B25="","",IF('Cash Flow of Project'!J25="","",NPV($C$4,OFFSET('Cash Flow of Project'!$D25,0,0,1,J$6))+$C25))</f>
        <v/>
      </c>
      <c r="K25" s="140" t="str">
        <f ca="1">IF($B25="","",IF('Cash Flow of Project'!K25="","",NPV($C$4,OFFSET('Cash Flow of Project'!$D25,0,0,1,K$6))+$C25))</f>
        <v/>
      </c>
      <c r="L25" s="140" t="str">
        <f ca="1">IF($B25="","",IF('Cash Flow of Project'!L25="","",NPV($C$4,OFFSET('Cash Flow of Project'!$D25,0,0,1,L$6))+$C25))</f>
        <v/>
      </c>
      <c r="M25" s="140" t="str">
        <f ca="1">IF($B25="","",IF('Cash Flow of Project'!M25="","",NPV($C$4,OFFSET('Cash Flow of Project'!$D25,0,0,1,M$6))+$C25))</f>
        <v/>
      </c>
    </row>
    <row r="26" spans="2:13" x14ac:dyDescent="0.35">
      <c r="B26" s="125"/>
      <c r="C26" s="140" t="str">
        <f>IF(B26="","",'Cash Flow of Project'!C26)</f>
        <v/>
      </c>
      <c r="D26" s="140" t="str">
        <f ca="1">IF($B26="","",IF('Cash Flow of Project'!D26="","",NPV($C$4,OFFSET('Cash Flow of Project'!$D26,0,0,1,D$6))+$C26))</f>
        <v/>
      </c>
      <c r="E26" s="140" t="str">
        <f ca="1">IF($B26="","",IF('Cash Flow of Project'!E26="","",NPV($C$4,OFFSET('Cash Flow of Project'!$D26,0,0,1,E$6))+$C26))</f>
        <v/>
      </c>
      <c r="F26" s="140" t="str">
        <f ca="1">IF($B26="","",IF('Cash Flow of Project'!F26="","",NPV($C$4,OFFSET('Cash Flow of Project'!$D26,0,0,1,F$6))+$C26))</f>
        <v/>
      </c>
      <c r="G26" s="140" t="str">
        <f ca="1">IF($B26="","",IF('Cash Flow of Project'!G26="","",NPV($C$4,OFFSET('Cash Flow of Project'!$D26,0,0,1,G$6))+$C26))</f>
        <v/>
      </c>
      <c r="H26" s="140" t="str">
        <f ca="1">IF($B26="","",IF('Cash Flow of Project'!H26="","",NPV($C$4,OFFSET('Cash Flow of Project'!$D26,0,0,1,H$6))+$C26))</f>
        <v/>
      </c>
      <c r="I26" s="140" t="str">
        <f ca="1">IF($B26="","",IF('Cash Flow of Project'!I26="","",NPV($C$4,OFFSET('Cash Flow of Project'!$D26,0,0,1,I$6))+$C26))</f>
        <v/>
      </c>
      <c r="J26" s="140" t="str">
        <f ca="1">IF($B26="","",IF('Cash Flow of Project'!J26="","",NPV($C$4,OFFSET('Cash Flow of Project'!$D26,0,0,1,J$6))+$C26))</f>
        <v/>
      </c>
      <c r="K26" s="140" t="str">
        <f ca="1">IF($B26="","",IF('Cash Flow of Project'!K26="","",NPV($C$4,OFFSET('Cash Flow of Project'!$D26,0,0,1,K$6))+$C26))</f>
        <v/>
      </c>
      <c r="L26" s="140" t="str">
        <f ca="1">IF($B26="","",IF('Cash Flow of Project'!L26="","",NPV($C$4,OFFSET('Cash Flow of Project'!$D26,0,0,1,L$6))+$C26))</f>
        <v/>
      </c>
      <c r="M26" s="140" t="str">
        <f ca="1">IF($B26="","",IF('Cash Flow of Project'!M26="","",NPV($C$4,OFFSET('Cash Flow of Project'!$D26,0,0,1,M$6))+$C26))</f>
        <v/>
      </c>
    </row>
    <row r="27" spans="2:13" x14ac:dyDescent="0.35">
      <c r="B27" s="125"/>
      <c r="C27" s="140" t="str">
        <f>IF(B27="","",'Cash Flow of Project'!C27)</f>
        <v/>
      </c>
      <c r="D27" s="140" t="str">
        <f ca="1">IF($B27="","",IF('Cash Flow of Project'!D27="","",NPV($C$4,OFFSET('Cash Flow of Project'!$D27,0,0,1,D$6))+$C27))</f>
        <v/>
      </c>
      <c r="E27" s="140" t="str">
        <f ca="1">IF($B27="","",IF('Cash Flow of Project'!E27="","",NPV($C$4,OFFSET('Cash Flow of Project'!$D27,0,0,1,E$6))+$C27))</f>
        <v/>
      </c>
      <c r="F27" s="140" t="str">
        <f ca="1">IF($B27="","",IF('Cash Flow of Project'!F27="","",NPV($C$4,OFFSET('Cash Flow of Project'!$D27,0,0,1,F$6))+$C27))</f>
        <v/>
      </c>
      <c r="G27" s="140" t="str">
        <f ca="1">IF($B27="","",IF('Cash Flow of Project'!G27="","",NPV($C$4,OFFSET('Cash Flow of Project'!$D27,0,0,1,G$6))+$C27))</f>
        <v/>
      </c>
      <c r="H27" s="140" t="str">
        <f ca="1">IF($B27="","",IF('Cash Flow of Project'!H27="","",NPV($C$4,OFFSET('Cash Flow of Project'!$D27,0,0,1,H$6))+$C27))</f>
        <v/>
      </c>
      <c r="I27" s="140" t="str">
        <f ca="1">IF($B27="","",IF('Cash Flow of Project'!I27="","",NPV($C$4,OFFSET('Cash Flow of Project'!$D27,0,0,1,I$6))+$C27))</f>
        <v/>
      </c>
      <c r="J27" s="140" t="str">
        <f ca="1">IF($B27="","",IF('Cash Flow of Project'!J27="","",NPV($C$4,OFFSET('Cash Flow of Project'!$D27,0,0,1,J$6))+$C27))</f>
        <v/>
      </c>
      <c r="K27" s="140" t="str">
        <f ca="1">IF($B27="","",IF('Cash Flow of Project'!K27="","",NPV($C$4,OFFSET('Cash Flow of Project'!$D27,0,0,1,K$6))+$C27))</f>
        <v/>
      </c>
      <c r="L27" s="140" t="str">
        <f ca="1">IF($B27="","",IF('Cash Flow of Project'!L27="","",NPV($C$4,OFFSET('Cash Flow of Project'!$D27,0,0,1,L$6))+$C27))</f>
        <v/>
      </c>
      <c r="M27" s="140" t="str">
        <f ca="1">IF($B27="","",IF('Cash Flow of Project'!M27="","",NPV($C$4,OFFSET('Cash Flow of Project'!$D27,0,0,1,M$6))+$C27))</f>
        <v/>
      </c>
    </row>
    <row r="28" spans="2:13" x14ac:dyDescent="0.35">
      <c r="B28" s="125"/>
      <c r="C28" s="140" t="str">
        <f>IF(B28="","",'Cash Flow of Project'!C28)</f>
        <v/>
      </c>
      <c r="D28" s="140" t="str">
        <f ca="1">IF($B28="","",IF('Cash Flow of Project'!D28="","",NPV($C$4,OFFSET('Cash Flow of Project'!$D28,0,0,1,D$6))+$C28))</f>
        <v/>
      </c>
      <c r="E28" s="140" t="str">
        <f ca="1">IF($B28="","",IF('Cash Flow of Project'!E28="","",NPV($C$4,OFFSET('Cash Flow of Project'!$D28,0,0,1,E$6))+$C28))</f>
        <v/>
      </c>
      <c r="F28" s="140" t="str">
        <f ca="1">IF($B28="","",IF('Cash Flow of Project'!F28="","",NPV($C$4,OFFSET('Cash Flow of Project'!$D28,0,0,1,F$6))+$C28))</f>
        <v/>
      </c>
      <c r="G28" s="140" t="str">
        <f ca="1">IF($B28="","",IF('Cash Flow of Project'!G28="","",NPV($C$4,OFFSET('Cash Flow of Project'!$D28,0,0,1,G$6))+$C28))</f>
        <v/>
      </c>
      <c r="H28" s="140" t="str">
        <f ca="1">IF($B28="","",IF('Cash Flow of Project'!H28="","",NPV($C$4,OFFSET('Cash Flow of Project'!$D28,0,0,1,H$6))+$C28))</f>
        <v/>
      </c>
      <c r="I28" s="140" t="str">
        <f ca="1">IF($B28="","",IF('Cash Flow of Project'!I28="","",NPV($C$4,OFFSET('Cash Flow of Project'!$D28,0,0,1,I$6))+$C28))</f>
        <v/>
      </c>
      <c r="J28" s="140" t="str">
        <f ca="1">IF($B28="","",IF('Cash Flow of Project'!J28="","",NPV($C$4,OFFSET('Cash Flow of Project'!$D28,0,0,1,J$6))+$C28))</f>
        <v/>
      </c>
      <c r="K28" s="140" t="str">
        <f ca="1">IF($B28="","",IF('Cash Flow of Project'!K28="","",NPV($C$4,OFFSET('Cash Flow of Project'!$D28,0,0,1,K$6))+$C28))</f>
        <v/>
      </c>
      <c r="L28" s="140" t="str">
        <f ca="1">IF($B28="","",IF('Cash Flow of Project'!L28="","",NPV($C$4,OFFSET('Cash Flow of Project'!$D28,0,0,1,L$6))+$C28))</f>
        <v/>
      </c>
      <c r="M28" s="140" t="str">
        <f ca="1">IF($B28="","",IF('Cash Flow of Project'!M28="","",NPV($C$4,OFFSET('Cash Flow of Project'!$D28,0,0,1,M$6))+$C28))</f>
        <v/>
      </c>
    </row>
    <row r="29" spans="2:13" x14ac:dyDescent="0.35">
      <c r="B29" s="125"/>
      <c r="C29" s="140" t="str">
        <f>IF(B29="","",'Cash Flow of Project'!C29)</f>
        <v/>
      </c>
      <c r="D29" s="140" t="str">
        <f ca="1">IF($B29="","",IF('Cash Flow of Project'!D29="","",NPV($C$4,OFFSET('Cash Flow of Project'!$D29,0,0,1,D$6))+$C29))</f>
        <v/>
      </c>
      <c r="E29" s="140" t="str">
        <f ca="1">IF($B29="","",IF('Cash Flow of Project'!E29="","",NPV($C$4,OFFSET('Cash Flow of Project'!$D29,0,0,1,E$6))+$C29))</f>
        <v/>
      </c>
      <c r="F29" s="140" t="str">
        <f ca="1">IF($B29="","",IF('Cash Flow of Project'!F29="","",NPV($C$4,OFFSET('Cash Flow of Project'!$D29,0,0,1,F$6))+$C29))</f>
        <v/>
      </c>
      <c r="G29" s="140" t="str">
        <f ca="1">IF($B29="","",IF('Cash Flow of Project'!G29="","",NPV($C$4,OFFSET('Cash Flow of Project'!$D29,0,0,1,G$6))+$C29))</f>
        <v/>
      </c>
      <c r="H29" s="140" t="str">
        <f ca="1">IF($B29="","",IF('Cash Flow of Project'!H29="","",NPV($C$4,OFFSET('Cash Flow of Project'!$D29,0,0,1,H$6))+$C29))</f>
        <v/>
      </c>
      <c r="I29" s="140" t="str">
        <f ca="1">IF($B29="","",IF('Cash Flow of Project'!I29="","",NPV($C$4,OFFSET('Cash Flow of Project'!$D29,0,0,1,I$6))+$C29))</f>
        <v/>
      </c>
      <c r="J29" s="140" t="str">
        <f ca="1">IF($B29="","",IF('Cash Flow of Project'!J29="","",NPV($C$4,OFFSET('Cash Flow of Project'!$D29,0,0,1,J$6))+$C29))</f>
        <v/>
      </c>
      <c r="K29" s="140" t="str">
        <f ca="1">IF($B29="","",IF('Cash Flow of Project'!K29="","",NPV($C$4,OFFSET('Cash Flow of Project'!$D29,0,0,1,K$6))+$C29))</f>
        <v/>
      </c>
      <c r="L29" s="140" t="str">
        <f ca="1">IF($B29="","",IF('Cash Flow of Project'!L29="","",NPV($C$4,OFFSET('Cash Flow of Project'!$D29,0,0,1,L$6))+$C29))</f>
        <v/>
      </c>
      <c r="M29" s="140" t="str">
        <f ca="1">IF($B29="","",IF('Cash Flow of Project'!M29="","",NPV($C$4,OFFSET('Cash Flow of Project'!$D29,0,0,1,M$6))+$C29))</f>
        <v/>
      </c>
    </row>
    <row r="30" spans="2:13" x14ac:dyDescent="0.35">
      <c r="B30" s="125"/>
      <c r="C30" s="125"/>
      <c r="D30" s="131" t="str">
        <f ca="1">IF($B30="","",IF('Cash Flow of Project'!D30="","",NPV($C$4,OFFSET('Cash Flow of Project'!$D30,0,0,1,D$6))+$C30))</f>
        <v/>
      </c>
      <c r="E30" s="131" t="str">
        <f ca="1">IF($B30="","",IF('Cash Flow of Project'!E30="","",NPV($C$4,OFFSET('Cash Flow of Project'!$D30,0,0,1,E$6))+$C30))</f>
        <v/>
      </c>
      <c r="F30" s="131" t="str">
        <f ca="1">IF($B30="","",IF('Cash Flow of Project'!F30="","",NPV($C$4,OFFSET('Cash Flow of Project'!$D30,0,0,1,F$6))+$C30))</f>
        <v/>
      </c>
      <c r="G30" s="131" t="str">
        <f ca="1">IF($B30="","",IF('Cash Flow of Project'!G30="","",NPV($C$4,OFFSET('Cash Flow of Project'!$D30,0,0,1,G$6))+$C30))</f>
        <v/>
      </c>
      <c r="H30" s="131" t="str">
        <f ca="1">IF($B30="","",IF('Cash Flow of Project'!H30="","",NPV($C$4,OFFSET('Cash Flow of Project'!$D30,0,0,1,H$6))+$C30))</f>
        <v/>
      </c>
      <c r="I30" s="131" t="str">
        <f ca="1">IF($B30="","",IF('Cash Flow of Project'!I30="","",NPV($C$4,OFFSET('Cash Flow of Project'!$D30,0,0,1,I$6))+$C30))</f>
        <v/>
      </c>
      <c r="J30" s="131" t="str">
        <f ca="1">IF($B30="","",IF('Cash Flow of Project'!J30="","",NPV($C$4,OFFSET('Cash Flow of Project'!$D30,0,0,1,J$6))+$C30))</f>
        <v/>
      </c>
      <c r="K30" s="131" t="str">
        <f ca="1">IF($B30="","",IF('Cash Flow of Project'!K30="","",NPV($C$4,OFFSET('Cash Flow of Project'!$D30,0,0,1,K$6))+$C30))</f>
        <v/>
      </c>
      <c r="L30" s="131" t="str">
        <f ca="1">IF($B30="","",IF('Cash Flow of Project'!L30="","",NPV($C$4,OFFSET('Cash Flow of Project'!$D30,0,0,1,L$6))+$C30))</f>
        <v/>
      </c>
      <c r="M30" s="131" t="str">
        <f ca="1">IF($B30="","",IF('Cash Flow of Project'!M30="","",NPV($C$4,OFFSET('Cash Flow of Project'!$D30,0,0,1,M$6))+$C30))</f>
        <v/>
      </c>
    </row>
    <row r="31" spans="2:13" x14ac:dyDescent="0.35">
      <c r="B31" s="125"/>
      <c r="C31" s="125"/>
      <c r="D31" s="131" t="str">
        <f ca="1">IF($B31="","",IF('Cash Flow of Project'!D31="","",NPV($C$4,OFFSET('Cash Flow of Project'!$D31,0,0,1,D$6))+$C31))</f>
        <v/>
      </c>
      <c r="E31" s="131" t="str">
        <f ca="1">IF($B31="","",IF('Cash Flow of Project'!E31="","",NPV($C$4,OFFSET('Cash Flow of Project'!$D31,0,0,1,E$6))+$C31))</f>
        <v/>
      </c>
      <c r="F31" s="131" t="str">
        <f ca="1">IF($B31="","",IF('Cash Flow of Project'!F31="","",NPV($C$4,OFFSET('Cash Flow of Project'!$D31,0,0,1,F$6))+$C31))</f>
        <v/>
      </c>
      <c r="G31" s="131" t="str">
        <f ca="1">IF($B31="","",IF('Cash Flow of Project'!G31="","",NPV($C$4,OFFSET('Cash Flow of Project'!$D31,0,0,1,G$6))+$C31))</f>
        <v/>
      </c>
      <c r="H31" s="131" t="str">
        <f ca="1">IF($B31="","",IF('Cash Flow of Project'!H31="","",NPV($C$4,OFFSET('Cash Flow of Project'!$D31,0,0,1,H$6))+$C31))</f>
        <v/>
      </c>
      <c r="I31" s="131" t="str">
        <f ca="1">IF($B31="","",IF('Cash Flow of Project'!I31="","",NPV($C$4,OFFSET('Cash Flow of Project'!$D31,0,0,1,I$6))+$C31))</f>
        <v/>
      </c>
      <c r="J31" s="131" t="str">
        <f ca="1">IF($B31="","",IF('Cash Flow of Project'!J31="","",NPV($C$4,OFFSET('Cash Flow of Project'!$D31,0,0,1,J$6))+$C31))</f>
        <v/>
      </c>
      <c r="K31" s="131" t="str">
        <f ca="1">IF($B31="","",IF('Cash Flow of Project'!K31="","",NPV($C$4,OFFSET('Cash Flow of Project'!$D31,0,0,1,K$6))+$C31))</f>
        <v/>
      </c>
      <c r="L31" s="131" t="str">
        <f ca="1">IF($B31="","",IF('Cash Flow of Project'!L31="","",NPV($C$4,OFFSET('Cash Flow of Project'!$D31,0,0,1,L$6))+$C31))</f>
        <v/>
      </c>
      <c r="M31" s="131" t="str">
        <f ca="1">IF($B31="","",IF('Cash Flow of Project'!M31="","",NPV($C$4,OFFSET('Cash Flow of Project'!$D31,0,0,1,M$6))+$C31))</f>
        <v/>
      </c>
    </row>
    <row r="32" spans="2:13" x14ac:dyDescent="0.35">
      <c r="B32" s="125"/>
      <c r="C32" s="125"/>
      <c r="D32" s="131" t="str">
        <f ca="1">IF($B32="","",IF('Cash Flow of Project'!D32="","",NPV($C$4,OFFSET('Cash Flow of Project'!$D32,0,0,1,D$6))+$C32))</f>
        <v/>
      </c>
      <c r="E32" s="131" t="str">
        <f ca="1">IF($B32="","",IF('Cash Flow of Project'!E32="","",NPV($C$4,OFFSET('Cash Flow of Project'!$D32,0,0,1,E$6))+$C32))</f>
        <v/>
      </c>
      <c r="F32" s="131" t="str">
        <f ca="1">IF($B32="","",IF('Cash Flow of Project'!F32="","",NPV($C$4,OFFSET('Cash Flow of Project'!$D32,0,0,1,F$6))+$C32))</f>
        <v/>
      </c>
      <c r="G32" s="131" t="str">
        <f ca="1">IF($B32="","",IF('Cash Flow of Project'!G32="","",NPV($C$4,OFFSET('Cash Flow of Project'!$D32,0,0,1,G$6))+$C32))</f>
        <v/>
      </c>
      <c r="H32" s="131" t="str">
        <f ca="1">IF($B32="","",IF('Cash Flow of Project'!H32="","",NPV($C$4,OFFSET('Cash Flow of Project'!$D32,0,0,1,H$6))+$C32))</f>
        <v/>
      </c>
      <c r="I32" s="131" t="str">
        <f ca="1">IF($B32="","",IF('Cash Flow of Project'!I32="","",NPV($C$4,OFFSET('Cash Flow of Project'!$D32,0,0,1,I$6))+$C32))</f>
        <v/>
      </c>
      <c r="J32" s="131" t="str">
        <f ca="1">IF($B32="","",IF('Cash Flow of Project'!J32="","",NPV($C$4,OFFSET('Cash Flow of Project'!$D32,0,0,1,J$6))+$C32))</f>
        <v/>
      </c>
      <c r="K32" s="131" t="str">
        <f ca="1">IF($B32="","",IF('Cash Flow of Project'!K32="","",NPV($C$4,OFFSET('Cash Flow of Project'!$D32,0,0,1,K$6))+$C32))</f>
        <v/>
      </c>
      <c r="L32" s="131" t="str">
        <f ca="1">IF($B32="","",IF('Cash Flow of Project'!L32="","",NPV($C$4,OFFSET('Cash Flow of Project'!$D32,0,0,1,L$6))+$C32))</f>
        <v/>
      </c>
      <c r="M32" s="131" t="str">
        <f ca="1">IF($B32="","",IF('Cash Flow of Project'!M32="","",NPV($C$4,OFFSET('Cash Flow of Project'!$D32,0,0,1,M$6))+$C32))</f>
        <v/>
      </c>
    </row>
    <row r="33" spans="2:13" x14ac:dyDescent="0.35">
      <c r="B33" s="125"/>
      <c r="C33" s="125"/>
      <c r="D33" s="131" t="str">
        <f ca="1">IF($B33="","",IF('Cash Flow of Project'!D33="","",NPV($C$4,OFFSET('Cash Flow of Project'!$D33,0,0,1,D$6))+$C33))</f>
        <v/>
      </c>
      <c r="E33" s="131" t="str">
        <f ca="1">IF($B33="","",IF('Cash Flow of Project'!E33="","",NPV($C$4,OFFSET('Cash Flow of Project'!$D33,0,0,1,E$6))+$C33))</f>
        <v/>
      </c>
      <c r="F33" s="131" t="str">
        <f ca="1">IF($B33="","",IF('Cash Flow of Project'!F33="","",NPV($C$4,OFFSET('Cash Flow of Project'!$D33,0,0,1,F$6))+$C33))</f>
        <v/>
      </c>
      <c r="G33" s="131" t="str">
        <f ca="1">IF($B33="","",IF('Cash Flow of Project'!G33="","",NPV($C$4,OFFSET('Cash Flow of Project'!$D33,0,0,1,G$6))+$C33))</f>
        <v/>
      </c>
      <c r="H33" s="131" t="str">
        <f ca="1">IF($B33="","",IF('Cash Flow of Project'!H33="","",NPV($C$4,OFFSET('Cash Flow of Project'!$D33,0,0,1,H$6))+$C33))</f>
        <v/>
      </c>
      <c r="I33" s="131" t="str">
        <f ca="1">IF($B33="","",IF('Cash Flow of Project'!I33="","",NPV($C$4,OFFSET('Cash Flow of Project'!$D33,0,0,1,I$6))+$C33))</f>
        <v/>
      </c>
      <c r="J33" s="131" t="str">
        <f ca="1">IF($B33="","",IF('Cash Flow of Project'!J33="","",NPV($C$4,OFFSET('Cash Flow of Project'!$D33,0,0,1,J$6))+$C33))</f>
        <v/>
      </c>
      <c r="K33" s="131" t="str">
        <f ca="1">IF($B33="","",IF('Cash Flow of Project'!K33="","",NPV($C$4,OFFSET('Cash Flow of Project'!$D33,0,0,1,K$6))+$C33))</f>
        <v/>
      </c>
      <c r="L33" s="131" t="str">
        <f ca="1">IF($B33="","",IF('Cash Flow of Project'!L33="","",NPV($C$4,OFFSET('Cash Flow of Project'!$D33,0,0,1,L$6))+$C33))</f>
        <v/>
      </c>
      <c r="M33" s="131" t="str">
        <f ca="1">IF($B33="","",IF('Cash Flow of Project'!M33="","",NPV($C$4,OFFSET('Cash Flow of Project'!$D33,0,0,1,M$6))+$C33))</f>
        <v/>
      </c>
    </row>
    <row r="34" spans="2:13" x14ac:dyDescent="0.35">
      <c r="B34" s="125"/>
      <c r="C34" s="125"/>
      <c r="D34" s="131" t="str">
        <f ca="1">IF($B34="","",IF('Cash Flow of Project'!D34="","",NPV($C$4,OFFSET('Cash Flow of Project'!$D34,0,0,1,D$6))+$C34))</f>
        <v/>
      </c>
      <c r="E34" s="131" t="str">
        <f ca="1">IF($B34="","",IF('Cash Flow of Project'!E34="","",NPV($C$4,OFFSET('Cash Flow of Project'!$D34,0,0,1,E$6))+$C34))</f>
        <v/>
      </c>
      <c r="F34" s="131" t="str">
        <f ca="1">IF($B34="","",IF('Cash Flow of Project'!F34="","",NPV($C$4,OFFSET('Cash Flow of Project'!$D34,0,0,1,F$6))+$C34))</f>
        <v/>
      </c>
      <c r="G34" s="131" t="str">
        <f ca="1">IF($B34="","",IF('Cash Flow of Project'!G34="","",NPV($C$4,OFFSET('Cash Flow of Project'!$D34,0,0,1,G$6))+$C34))</f>
        <v/>
      </c>
      <c r="H34" s="131" t="str">
        <f ca="1">IF($B34="","",IF('Cash Flow of Project'!H34="","",NPV($C$4,OFFSET('Cash Flow of Project'!$D34,0,0,1,H$6))+$C34))</f>
        <v/>
      </c>
      <c r="I34" s="131" t="str">
        <f ca="1">IF($B34="","",IF('Cash Flow of Project'!I34="","",NPV($C$4,OFFSET('Cash Flow of Project'!$D34,0,0,1,I$6))+$C34))</f>
        <v/>
      </c>
      <c r="J34" s="131" t="str">
        <f ca="1">IF($B34="","",IF('Cash Flow of Project'!J34="","",NPV($C$4,OFFSET('Cash Flow of Project'!$D34,0,0,1,J$6))+$C34))</f>
        <v/>
      </c>
      <c r="K34" s="131" t="str">
        <f ca="1">IF($B34="","",IF('Cash Flow of Project'!K34="","",NPV($C$4,OFFSET('Cash Flow of Project'!$D34,0,0,1,K$6))+$C34))</f>
        <v/>
      </c>
      <c r="L34" s="131" t="str">
        <f ca="1">IF($B34="","",IF('Cash Flow of Project'!L34="","",NPV($C$4,OFFSET('Cash Flow of Project'!$D34,0,0,1,L$6))+$C34))</f>
        <v/>
      </c>
      <c r="M34" s="131" t="str">
        <f ca="1">IF($B34="","",IF('Cash Flow of Project'!M34="","",NPV($C$4,OFFSET('Cash Flow of Project'!$D34,0,0,1,M$6))+$C34))</f>
        <v/>
      </c>
    </row>
    <row r="35" spans="2:13" x14ac:dyDescent="0.35">
      <c r="B35" s="125"/>
      <c r="C35" s="125"/>
      <c r="D35" s="131" t="str">
        <f ca="1">IF($B35="","",IF('Cash Flow of Project'!D35="","",NPV($C$4,OFFSET('Cash Flow of Project'!$D35,0,0,1,D$6))+$C35))</f>
        <v/>
      </c>
      <c r="E35" s="131" t="str">
        <f ca="1">IF($B35="","",IF('Cash Flow of Project'!E35="","",NPV($C$4,OFFSET('Cash Flow of Project'!$D35,0,0,1,E$6))+$C35))</f>
        <v/>
      </c>
      <c r="F35" s="131" t="str">
        <f ca="1">IF($B35="","",IF('Cash Flow of Project'!F35="","",NPV($C$4,OFFSET('Cash Flow of Project'!$D35,0,0,1,F$6))+$C35))</f>
        <v/>
      </c>
      <c r="G35" s="131" t="str">
        <f ca="1">IF($B35="","",IF('Cash Flow of Project'!G35="","",NPV($C$4,OFFSET('Cash Flow of Project'!$D35,0,0,1,G$6))+$C35))</f>
        <v/>
      </c>
      <c r="H35" s="131" t="str">
        <f ca="1">IF($B35="","",IF('Cash Flow of Project'!H35="","",NPV($C$4,OFFSET('Cash Flow of Project'!$D35,0,0,1,H$6))+$C35))</f>
        <v/>
      </c>
      <c r="I35" s="131" t="str">
        <f ca="1">IF($B35="","",IF('Cash Flow of Project'!I35="","",NPV($C$4,OFFSET('Cash Flow of Project'!$D35,0,0,1,I$6))+$C35))</f>
        <v/>
      </c>
      <c r="J35" s="131" t="str">
        <f ca="1">IF($B35="","",IF('Cash Flow of Project'!J35="","",NPV($C$4,OFFSET('Cash Flow of Project'!$D35,0,0,1,J$6))+$C35))</f>
        <v/>
      </c>
      <c r="K35" s="131" t="str">
        <f ca="1">IF($B35="","",IF('Cash Flow of Project'!K35="","",NPV($C$4,OFFSET('Cash Flow of Project'!$D35,0,0,1,K$6))+$C35))</f>
        <v/>
      </c>
      <c r="L35" s="131" t="str">
        <f ca="1">IF($B35="","",IF('Cash Flow of Project'!L35="","",NPV($C$4,OFFSET('Cash Flow of Project'!$D35,0,0,1,L$6))+$C35))</f>
        <v/>
      </c>
      <c r="M35" s="131" t="str">
        <f ca="1">IF($B35="","",IF('Cash Flow of Project'!M35="","",NPV($C$4,OFFSET('Cash Flow of Project'!$D35,0,0,1,M$6))+$C35))</f>
        <v/>
      </c>
    </row>
    <row r="36" spans="2:13" x14ac:dyDescent="0.35">
      <c r="B36" s="125"/>
      <c r="C36" s="125"/>
      <c r="D36" s="131" t="str">
        <f ca="1">IF($B36="","",IF('Cash Flow of Project'!D36="","",NPV($C$4,OFFSET('Cash Flow of Project'!$D36,0,0,1,D$6))+$C36))</f>
        <v/>
      </c>
      <c r="E36" s="131" t="str">
        <f ca="1">IF($B36="","",IF('Cash Flow of Project'!E36="","",NPV($C$4,OFFSET('Cash Flow of Project'!$D36,0,0,1,E$6))+$C36))</f>
        <v/>
      </c>
      <c r="F36" s="131" t="str">
        <f ca="1">IF($B36="","",IF('Cash Flow of Project'!F36="","",NPV($C$4,OFFSET('Cash Flow of Project'!$D36,0,0,1,F$6))+$C36))</f>
        <v/>
      </c>
      <c r="G36" s="131" t="str">
        <f ca="1">IF($B36="","",IF('Cash Flow of Project'!G36="","",NPV($C$4,OFFSET('Cash Flow of Project'!$D36,0,0,1,G$6))+$C36))</f>
        <v/>
      </c>
      <c r="H36" s="131" t="str">
        <f ca="1">IF($B36="","",IF('Cash Flow of Project'!H36="","",NPV($C$4,OFFSET('Cash Flow of Project'!$D36,0,0,1,H$6))+$C36))</f>
        <v/>
      </c>
      <c r="I36" s="131" t="str">
        <f ca="1">IF($B36="","",IF('Cash Flow of Project'!I36="","",NPV($C$4,OFFSET('Cash Flow of Project'!$D36,0,0,1,I$6))+$C36))</f>
        <v/>
      </c>
      <c r="J36" s="131" t="str">
        <f ca="1">IF($B36="","",IF('Cash Flow of Project'!J36="","",NPV($C$4,OFFSET('Cash Flow of Project'!$D36,0,0,1,J$6))+$C36))</f>
        <v/>
      </c>
      <c r="K36" s="131" t="str">
        <f ca="1">IF($B36="","",IF('Cash Flow of Project'!K36="","",NPV($C$4,OFFSET('Cash Flow of Project'!$D36,0,0,1,K$6))+$C36))</f>
        <v/>
      </c>
      <c r="L36" s="131" t="str">
        <f ca="1">IF($B36="","",IF('Cash Flow of Project'!L36="","",NPV($C$4,OFFSET('Cash Flow of Project'!$D36,0,0,1,L$6))+$C36))</f>
        <v/>
      </c>
      <c r="M36" s="131" t="str">
        <f ca="1">IF($B36="","",IF('Cash Flow of Project'!M36="","",NPV($C$4,OFFSET('Cash Flow of Project'!$D36,0,0,1,M$6))+$C36))</f>
        <v/>
      </c>
    </row>
    <row r="37" spans="2:13" x14ac:dyDescent="0.35">
      <c r="B37" s="125"/>
      <c r="C37" s="125"/>
      <c r="D37" s="131" t="str">
        <f ca="1">IF($B37="","",IF('Cash Flow of Project'!D37="","",NPV($C$4,OFFSET('Cash Flow of Project'!$D37,0,0,1,D$6))+$C37))</f>
        <v/>
      </c>
      <c r="E37" s="131" t="str">
        <f ca="1">IF($B37="","",IF('Cash Flow of Project'!E37="","",NPV($C$4,OFFSET('Cash Flow of Project'!$D37,0,0,1,E$6))+$C37))</f>
        <v/>
      </c>
      <c r="F37" s="131" t="str">
        <f ca="1">IF($B37="","",IF('Cash Flow of Project'!F37="","",NPV($C$4,OFFSET('Cash Flow of Project'!$D37,0,0,1,F$6))+$C37))</f>
        <v/>
      </c>
      <c r="G37" s="131" t="str">
        <f ca="1">IF($B37="","",IF('Cash Flow of Project'!G37="","",NPV($C$4,OFFSET('Cash Flow of Project'!$D37,0,0,1,G$6))+$C37))</f>
        <v/>
      </c>
      <c r="H37" s="131" t="str">
        <f ca="1">IF($B37="","",IF('Cash Flow of Project'!H37="","",NPV($C$4,OFFSET('Cash Flow of Project'!$D37,0,0,1,H$6))+$C37))</f>
        <v/>
      </c>
      <c r="I37" s="131" t="str">
        <f ca="1">IF($B37="","",IF('Cash Flow of Project'!I37="","",NPV($C$4,OFFSET('Cash Flow of Project'!$D37,0,0,1,I$6))+$C37))</f>
        <v/>
      </c>
      <c r="J37" s="131" t="str">
        <f ca="1">IF($B37="","",IF('Cash Flow of Project'!J37="","",NPV($C$4,OFFSET('Cash Flow of Project'!$D37,0,0,1,J$6))+$C37))</f>
        <v/>
      </c>
      <c r="K37" s="131" t="str">
        <f ca="1">IF($B37="","",IF('Cash Flow of Project'!K37="","",NPV($C$4,OFFSET('Cash Flow of Project'!$D37,0,0,1,K$6))+$C37))</f>
        <v/>
      </c>
      <c r="L37" s="131" t="str">
        <f ca="1">IF($B37="","",IF('Cash Flow of Project'!L37="","",NPV($C$4,OFFSET('Cash Flow of Project'!$D37,0,0,1,L$6))+$C37))</f>
        <v/>
      </c>
      <c r="M37" s="131" t="str">
        <f ca="1">IF($B37="","",IF('Cash Flow of Project'!M37="","",NPV($C$4,OFFSET('Cash Flow of Project'!$D37,0,0,1,M$6))+$C37))</f>
        <v/>
      </c>
    </row>
    <row r="38" spans="2:13" x14ac:dyDescent="0.35">
      <c r="B38" s="125"/>
      <c r="C38" s="125"/>
      <c r="D38" s="131" t="str">
        <f ca="1">IF($B38="","",IF('Cash Flow of Project'!D38="","",NPV($C$4,OFFSET('Cash Flow of Project'!$D38,0,0,1,D$6))+$C38))</f>
        <v/>
      </c>
      <c r="E38" s="131" t="str">
        <f ca="1">IF($B38="","",IF('Cash Flow of Project'!E38="","",NPV($C$4,OFFSET('Cash Flow of Project'!$D38,0,0,1,E$6))+$C38))</f>
        <v/>
      </c>
      <c r="F38" s="131" t="str">
        <f ca="1">IF($B38="","",IF('Cash Flow of Project'!F38="","",NPV($C$4,OFFSET('Cash Flow of Project'!$D38,0,0,1,F$6))+$C38))</f>
        <v/>
      </c>
      <c r="G38" s="131" t="str">
        <f ca="1">IF($B38="","",IF('Cash Flow of Project'!G38="","",NPV($C$4,OFFSET('Cash Flow of Project'!$D38,0,0,1,G$6))+$C38))</f>
        <v/>
      </c>
      <c r="H38" s="131" t="str">
        <f ca="1">IF($B38="","",IF('Cash Flow of Project'!H38="","",NPV($C$4,OFFSET('Cash Flow of Project'!$D38,0,0,1,H$6))+$C38))</f>
        <v/>
      </c>
      <c r="I38" s="131" t="str">
        <f ca="1">IF($B38="","",IF('Cash Flow of Project'!I38="","",NPV($C$4,OFFSET('Cash Flow of Project'!$D38,0,0,1,I$6))+$C38))</f>
        <v/>
      </c>
      <c r="J38" s="131" t="str">
        <f ca="1">IF($B38="","",IF('Cash Flow of Project'!J38="","",NPV($C$4,OFFSET('Cash Flow of Project'!$D38,0,0,1,J$6))+$C38))</f>
        <v/>
      </c>
      <c r="K38" s="131" t="str">
        <f ca="1">IF($B38="","",IF('Cash Flow of Project'!K38="","",NPV($C$4,OFFSET('Cash Flow of Project'!$D38,0,0,1,K$6))+$C38))</f>
        <v/>
      </c>
      <c r="L38" s="131" t="str">
        <f ca="1">IF($B38="","",IF('Cash Flow of Project'!L38="","",NPV($C$4,OFFSET('Cash Flow of Project'!$D38,0,0,1,L$6))+$C38))</f>
        <v/>
      </c>
      <c r="M38" s="131" t="str">
        <f ca="1">IF($B38="","",IF('Cash Flow of Project'!M38="","",NPV($C$4,OFFSET('Cash Flow of Project'!$D38,0,0,1,M$6))+$C38))</f>
        <v/>
      </c>
    </row>
    <row r="39" spans="2:13" x14ac:dyDescent="0.35">
      <c r="B39" s="125"/>
      <c r="C39" s="125"/>
      <c r="D39" s="131" t="str">
        <f ca="1">IF($B39="","",IF('Cash Flow of Project'!D39="","",NPV($C$4,OFFSET('Cash Flow of Project'!$D39,0,0,1,D$6))+$C39))</f>
        <v/>
      </c>
      <c r="E39" s="131" t="str">
        <f ca="1">IF($B39="","",IF('Cash Flow of Project'!E39="","",NPV($C$4,OFFSET('Cash Flow of Project'!$D39,0,0,1,E$6))+$C39))</f>
        <v/>
      </c>
      <c r="F39" s="131" t="str">
        <f ca="1">IF($B39="","",IF('Cash Flow of Project'!F39="","",NPV($C$4,OFFSET('Cash Flow of Project'!$D39,0,0,1,F$6))+$C39))</f>
        <v/>
      </c>
      <c r="G39" s="131" t="str">
        <f ca="1">IF($B39="","",IF('Cash Flow of Project'!G39="","",NPV($C$4,OFFSET('Cash Flow of Project'!$D39,0,0,1,G$6))+$C39))</f>
        <v/>
      </c>
      <c r="H39" s="131" t="str">
        <f ca="1">IF($B39="","",IF('Cash Flow of Project'!H39="","",NPV($C$4,OFFSET('Cash Flow of Project'!$D39,0,0,1,H$6))+$C39))</f>
        <v/>
      </c>
      <c r="I39" s="131" t="str">
        <f ca="1">IF($B39="","",IF('Cash Flow of Project'!I39="","",NPV($C$4,OFFSET('Cash Flow of Project'!$D39,0,0,1,I$6))+$C39))</f>
        <v/>
      </c>
      <c r="J39" s="131" t="str">
        <f ca="1">IF($B39="","",IF('Cash Flow of Project'!J39="","",NPV($C$4,OFFSET('Cash Flow of Project'!$D39,0,0,1,J$6))+$C39))</f>
        <v/>
      </c>
      <c r="K39" s="131" t="str">
        <f ca="1">IF($B39="","",IF('Cash Flow of Project'!K39="","",NPV($C$4,OFFSET('Cash Flow of Project'!$D39,0,0,1,K$6))+$C39))</f>
        <v/>
      </c>
      <c r="L39" s="131" t="str">
        <f ca="1">IF($B39="","",IF('Cash Flow of Project'!L39="","",NPV($C$4,OFFSET('Cash Flow of Project'!$D39,0,0,1,L$6))+$C39))</f>
        <v/>
      </c>
      <c r="M39" s="131" t="str">
        <f ca="1">IF($B39="","",IF('Cash Flow of Project'!M39="","",NPV($C$4,OFFSET('Cash Flow of Project'!$D39,0,0,1,M$6))+$C39))</f>
        <v/>
      </c>
    </row>
    <row r="40" spans="2:13" x14ac:dyDescent="0.35">
      <c r="B40" s="125"/>
      <c r="C40" s="125"/>
      <c r="D40" s="131" t="str">
        <f ca="1">IF($B40="","",IF('Cash Flow of Project'!D40="","",NPV($C$4,OFFSET('Cash Flow of Project'!$D40,0,0,1,D$6))+$C40))</f>
        <v/>
      </c>
      <c r="E40" s="131" t="str">
        <f ca="1">IF($B40="","",IF('Cash Flow of Project'!E40="","",NPV($C$4,OFFSET('Cash Flow of Project'!$D40,0,0,1,E$6))+$C40))</f>
        <v/>
      </c>
      <c r="F40" s="131" t="str">
        <f ca="1">IF($B40="","",IF('Cash Flow of Project'!F40="","",NPV($C$4,OFFSET('Cash Flow of Project'!$D40,0,0,1,F$6))+$C40))</f>
        <v/>
      </c>
      <c r="G40" s="131" t="str">
        <f ca="1">IF($B40="","",IF('Cash Flow of Project'!G40="","",NPV($C$4,OFFSET('Cash Flow of Project'!$D40,0,0,1,G$6))+$C40))</f>
        <v/>
      </c>
      <c r="H40" s="131" t="str">
        <f ca="1">IF($B40="","",IF('Cash Flow of Project'!H40="","",NPV($C$4,OFFSET('Cash Flow of Project'!$D40,0,0,1,H$6))+$C40))</f>
        <v/>
      </c>
      <c r="I40" s="131" t="str">
        <f ca="1">IF($B40="","",IF('Cash Flow of Project'!I40="","",NPV($C$4,OFFSET('Cash Flow of Project'!$D40,0,0,1,I$6))+$C40))</f>
        <v/>
      </c>
      <c r="J40" s="131" t="str">
        <f ca="1">IF($B40="","",IF('Cash Flow of Project'!J40="","",NPV($C$4,OFFSET('Cash Flow of Project'!$D40,0,0,1,J$6))+$C40))</f>
        <v/>
      </c>
      <c r="K40" s="131" t="str">
        <f ca="1">IF($B40="","",IF('Cash Flow of Project'!K40="","",NPV($C$4,OFFSET('Cash Flow of Project'!$D40,0,0,1,K$6))+$C40))</f>
        <v/>
      </c>
      <c r="L40" s="131" t="str">
        <f ca="1">IF($B40="","",IF('Cash Flow of Project'!L40="","",NPV($C$4,OFFSET('Cash Flow of Project'!$D40,0,0,1,L$6))+$C40))</f>
        <v/>
      </c>
      <c r="M40" s="131" t="str">
        <f ca="1">IF($B40="","",IF('Cash Flow of Project'!M40="","",NPV($C$4,OFFSET('Cash Flow of Project'!$D40,0,0,1,M$6))+$C40))</f>
        <v/>
      </c>
    </row>
    <row r="41" spans="2:13" x14ac:dyDescent="0.35">
      <c r="B41" s="125"/>
      <c r="C41" s="125"/>
      <c r="D41" s="131" t="str">
        <f ca="1">IF($B41="","",IF('Cash Flow of Project'!D41="","",NPV($C$4,OFFSET('Cash Flow of Project'!$D41,0,0,1,D$6))+$C41))</f>
        <v/>
      </c>
      <c r="E41" s="131" t="str">
        <f ca="1">IF($B41="","",IF('Cash Flow of Project'!E41="","",NPV($C$4,OFFSET('Cash Flow of Project'!$D41,0,0,1,E$6))+$C41))</f>
        <v/>
      </c>
      <c r="F41" s="131" t="str">
        <f ca="1">IF($B41="","",IF('Cash Flow of Project'!F41="","",NPV($C$4,OFFSET('Cash Flow of Project'!$D41,0,0,1,F$6))+$C41))</f>
        <v/>
      </c>
      <c r="G41" s="131" t="str">
        <f ca="1">IF($B41="","",IF('Cash Flow of Project'!G41="","",NPV($C$4,OFFSET('Cash Flow of Project'!$D41,0,0,1,G$6))+$C41))</f>
        <v/>
      </c>
      <c r="H41" s="131" t="str">
        <f ca="1">IF($B41="","",IF('Cash Flow of Project'!H41="","",NPV($C$4,OFFSET('Cash Flow of Project'!$D41,0,0,1,H$6))+$C41))</f>
        <v/>
      </c>
      <c r="I41" s="131" t="str">
        <f ca="1">IF($B41="","",IF('Cash Flow of Project'!I41="","",NPV($C$4,OFFSET('Cash Flow of Project'!$D41,0,0,1,I$6))+$C41))</f>
        <v/>
      </c>
      <c r="J41" s="131" t="str">
        <f ca="1">IF($B41="","",IF('Cash Flow of Project'!J41="","",NPV($C$4,OFFSET('Cash Flow of Project'!$D41,0,0,1,J$6))+$C41))</f>
        <v/>
      </c>
      <c r="K41" s="131" t="str">
        <f ca="1">IF($B41="","",IF('Cash Flow of Project'!K41="","",NPV($C$4,OFFSET('Cash Flow of Project'!$D41,0,0,1,K$6))+$C41))</f>
        <v/>
      </c>
      <c r="L41" s="131" t="str">
        <f ca="1">IF($B41="","",IF('Cash Flow of Project'!L41="","",NPV($C$4,OFFSET('Cash Flow of Project'!$D41,0,0,1,L$6))+$C41))</f>
        <v/>
      </c>
      <c r="M41" s="131" t="str">
        <f ca="1">IF($B41="","",IF('Cash Flow of Project'!M41="","",NPV($C$4,OFFSET('Cash Flow of Project'!$D41,0,0,1,M$6))+$C41))</f>
        <v/>
      </c>
    </row>
    <row r="42" spans="2:13" x14ac:dyDescent="0.35">
      <c r="B42" s="125"/>
      <c r="C42" s="125"/>
      <c r="D42" s="131" t="str">
        <f ca="1">IF($B42="","",IF('Cash Flow of Project'!D42="","",NPV($C$4,OFFSET('Cash Flow of Project'!$D42,0,0,1,D$6))+$C42))</f>
        <v/>
      </c>
      <c r="E42" s="131" t="str">
        <f ca="1">IF($B42="","",IF('Cash Flow of Project'!E42="","",NPV($C$4,OFFSET('Cash Flow of Project'!$D42,0,0,1,E$6))+$C42))</f>
        <v/>
      </c>
      <c r="F42" s="131" t="str">
        <f ca="1">IF($B42="","",IF('Cash Flow of Project'!F42="","",NPV($C$4,OFFSET('Cash Flow of Project'!$D42,0,0,1,F$6))+$C42))</f>
        <v/>
      </c>
      <c r="G42" s="131" t="str">
        <f ca="1">IF($B42="","",IF('Cash Flow of Project'!G42="","",NPV($C$4,OFFSET('Cash Flow of Project'!$D42,0,0,1,G$6))+$C42))</f>
        <v/>
      </c>
      <c r="H42" s="131" t="str">
        <f ca="1">IF($B42="","",IF('Cash Flow of Project'!H42="","",NPV($C$4,OFFSET('Cash Flow of Project'!$D42,0,0,1,H$6))+$C42))</f>
        <v/>
      </c>
      <c r="I42" s="131" t="str">
        <f ca="1">IF($B42="","",IF('Cash Flow of Project'!I42="","",NPV($C$4,OFFSET('Cash Flow of Project'!$D42,0,0,1,I$6))+$C42))</f>
        <v/>
      </c>
      <c r="J42" s="131" t="str">
        <f ca="1">IF($B42="","",IF('Cash Flow of Project'!J42="","",NPV($C$4,OFFSET('Cash Flow of Project'!$D42,0,0,1,J$6))+$C42))</f>
        <v/>
      </c>
      <c r="K42" s="131" t="str">
        <f ca="1">IF($B42="","",IF('Cash Flow of Project'!K42="","",NPV($C$4,OFFSET('Cash Flow of Project'!$D42,0,0,1,K$6))+$C42))</f>
        <v/>
      </c>
      <c r="L42" s="131" t="str">
        <f ca="1">IF($B42="","",IF('Cash Flow of Project'!L42="","",NPV($C$4,OFFSET('Cash Flow of Project'!$D42,0,0,1,L$6))+$C42))</f>
        <v/>
      </c>
      <c r="M42" s="131" t="str">
        <f ca="1">IF($B42="","",IF('Cash Flow of Project'!M42="","",NPV($C$4,OFFSET('Cash Flow of Project'!$D42,0,0,1,M$6))+$C42))</f>
        <v/>
      </c>
    </row>
    <row r="43" spans="2:13" x14ac:dyDescent="0.35">
      <c r="B43" s="125"/>
      <c r="C43" s="125"/>
      <c r="D43" s="131" t="str">
        <f ca="1">IF($B43="","",IF('Cash Flow of Project'!D43="","",NPV($C$4,OFFSET('Cash Flow of Project'!$D43,0,0,1,D$6))+$C43))</f>
        <v/>
      </c>
      <c r="E43" s="131" t="str">
        <f ca="1">IF($B43="","",IF('Cash Flow of Project'!E43="","",NPV($C$4,OFFSET('Cash Flow of Project'!$D43,0,0,1,E$6))+$C43))</f>
        <v/>
      </c>
      <c r="F43" s="131" t="str">
        <f ca="1">IF($B43="","",IF('Cash Flow of Project'!F43="","",NPV($C$4,OFFSET('Cash Flow of Project'!$D43,0,0,1,F$6))+$C43))</f>
        <v/>
      </c>
      <c r="G43" s="131" t="str">
        <f ca="1">IF($B43="","",IF('Cash Flow of Project'!G43="","",NPV($C$4,OFFSET('Cash Flow of Project'!$D43,0,0,1,G$6))+$C43))</f>
        <v/>
      </c>
      <c r="H43" s="131" t="str">
        <f ca="1">IF($B43="","",IF('Cash Flow of Project'!H43="","",NPV($C$4,OFFSET('Cash Flow of Project'!$D43,0,0,1,H$6))+$C43))</f>
        <v/>
      </c>
      <c r="I43" s="131" t="str">
        <f ca="1">IF($B43="","",IF('Cash Flow of Project'!I43="","",NPV($C$4,OFFSET('Cash Flow of Project'!$D43,0,0,1,I$6))+$C43))</f>
        <v/>
      </c>
      <c r="J43" s="131" t="str">
        <f ca="1">IF($B43="","",IF('Cash Flow of Project'!J43="","",NPV($C$4,OFFSET('Cash Flow of Project'!$D43,0,0,1,J$6))+$C43))</f>
        <v/>
      </c>
      <c r="K43" s="131" t="str">
        <f ca="1">IF($B43="","",IF('Cash Flow of Project'!K43="","",NPV($C$4,OFFSET('Cash Flow of Project'!$D43,0,0,1,K$6))+$C43))</f>
        <v/>
      </c>
      <c r="L43" s="131" t="str">
        <f ca="1">IF($B43="","",IF('Cash Flow of Project'!L43="","",NPV($C$4,OFFSET('Cash Flow of Project'!$D43,0,0,1,L$6))+$C43))</f>
        <v/>
      </c>
      <c r="M43" s="131" t="str">
        <f ca="1">IF($B43="","",IF('Cash Flow of Project'!M43="","",NPV($C$4,OFFSET('Cash Flow of Project'!$D43,0,0,1,M$6))+$C43))</f>
        <v/>
      </c>
    </row>
    <row r="44" spans="2:13" x14ac:dyDescent="0.35">
      <c r="B44" s="125"/>
      <c r="C44" s="125"/>
      <c r="D44" s="131" t="str">
        <f ca="1">IF($B44="","",IF('Cash Flow of Project'!D44="","",NPV($C$4,OFFSET('Cash Flow of Project'!$D44,0,0,1,D$6))+$C44))</f>
        <v/>
      </c>
      <c r="E44" s="131" t="str">
        <f ca="1">IF($B44="","",IF('Cash Flow of Project'!E44="","",NPV($C$4,OFFSET('Cash Flow of Project'!$D44,0,0,1,E$6))+$C44))</f>
        <v/>
      </c>
      <c r="F44" s="131" t="str">
        <f ca="1">IF($B44="","",IF('Cash Flow of Project'!F44="","",NPV($C$4,OFFSET('Cash Flow of Project'!$D44,0,0,1,F$6))+$C44))</f>
        <v/>
      </c>
      <c r="G44" s="131" t="str">
        <f ca="1">IF($B44="","",IF('Cash Flow of Project'!G44="","",NPV($C$4,OFFSET('Cash Flow of Project'!$D44,0,0,1,G$6))+$C44))</f>
        <v/>
      </c>
      <c r="H44" s="131" t="str">
        <f ca="1">IF($B44="","",IF('Cash Flow of Project'!H44="","",NPV($C$4,OFFSET('Cash Flow of Project'!$D44,0,0,1,H$6))+$C44))</f>
        <v/>
      </c>
      <c r="I44" s="131" t="str">
        <f ca="1">IF($B44="","",IF('Cash Flow of Project'!I44="","",NPV($C$4,OFFSET('Cash Flow of Project'!$D44,0,0,1,I$6))+$C44))</f>
        <v/>
      </c>
      <c r="J44" s="131" t="str">
        <f ca="1">IF($B44="","",IF('Cash Flow of Project'!J44="","",NPV($C$4,OFFSET('Cash Flow of Project'!$D44,0,0,1,J$6))+$C44))</f>
        <v/>
      </c>
      <c r="K44" s="131" t="str">
        <f ca="1">IF($B44="","",IF('Cash Flow of Project'!K44="","",NPV($C$4,OFFSET('Cash Flow of Project'!$D44,0,0,1,K$6))+$C44))</f>
        <v/>
      </c>
      <c r="L44" s="131" t="str">
        <f ca="1">IF($B44="","",IF('Cash Flow of Project'!L44="","",NPV($C$4,OFFSET('Cash Flow of Project'!$D44,0,0,1,L$6))+$C44))</f>
        <v/>
      </c>
      <c r="M44" s="131" t="str">
        <f ca="1">IF($B44="","",IF('Cash Flow of Project'!M44="","",NPV($C$4,OFFSET('Cash Flow of Project'!$D44,0,0,1,M$6))+$C44))</f>
        <v/>
      </c>
    </row>
    <row r="45" spans="2:13" x14ac:dyDescent="0.35">
      <c r="B45" s="125"/>
      <c r="C45" s="125"/>
      <c r="D45" s="131" t="str">
        <f ca="1">IF($B45="","",IF('Cash Flow of Project'!D45="","",NPV($C$4,OFFSET('Cash Flow of Project'!$D45,0,0,1,D$6))+$C45))</f>
        <v/>
      </c>
      <c r="E45" s="131" t="str">
        <f ca="1">IF($B45="","",IF('Cash Flow of Project'!E45="","",NPV($C$4,OFFSET('Cash Flow of Project'!$D45,0,0,1,E$6))+$C45))</f>
        <v/>
      </c>
      <c r="F45" s="131" t="str">
        <f ca="1">IF($B45="","",IF('Cash Flow of Project'!F45="","",NPV($C$4,OFFSET('Cash Flow of Project'!$D45,0,0,1,F$6))+$C45))</f>
        <v/>
      </c>
      <c r="G45" s="131" t="str">
        <f ca="1">IF($B45="","",IF('Cash Flow of Project'!G45="","",NPV($C$4,OFFSET('Cash Flow of Project'!$D45,0,0,1,G$6))+$C45))</f>
        <v/>
      </c>
      <c r="H45" s="131" t="str">
        <f ca="1">IF($B45="","",IF('Cash Flow of Project'!H45="","",NPV($C$4,OFFSET('Cash Flow of Project'!$D45,0,0,1,H$6))+$C45))</f>
        <v/>
      </c>
      <c r="I45" s="131" t="str">
        <f ca="1">IF($B45="","",IF('Cash Flow of Project'!I45="","",NPV($C$4,OFFSET('Cash Flow of Project'!$D45,0,0,1,I$6))+$C45))</f>
        <v/>
      </c>
      <c r="J45" s="131" t="str">
        <f ca="1">IF($B45="","",IF('Cash Flow of Project'!J45="","",NPV($C$4,OFFSET('Cash Flow of Project'!$D45,0,0,1,J$6))+$C45))</f>
        <v/>
      </c>
      <c r="K45" s="131" t="str">
        <f ca="1">IF($B45="","",IF('Cash Flow of Project'!K45="","",NPV($C$4,OFFSET('Cash Flow of Project'!$D45,0,0,1,K$6))+$C45))</f>
        <v/>
      </c>
      <c r="L45" s="131" t="str">
        <f ca="1">IF($B45="","",IF('Cash Flow of Project'!L45="","",NPV($C$4,OFFSET('Cash Flow of Project'!$D45,0,0,1,L$6))+$C45))</f>
        <v/>
      </c>
      <c r="M45" s="131" t="str">
        <f ca="1">IF($B45="","",IF('Cash Flow of Project'!M45="","",NPV($C$4,OFFSET('Cash Flow of Project'!$D45,0,0,1,M$6))+$C45))</f>
        <v/>
      </c>
    </row>
    <row r="46" spans="2:13" x14ac:dyDescent="0.35">
      <c r="B46" s="125"/>
      <c r="C46" s="125"/>
      <c r="D46" s="131" t="str">
        <f ca="1">IF($B46="","",IF('Cash Flow of Project'!D46="","",NPV($C$4,OFFSET('Cash Flow of Project'!$D46,0,0,1,D$6))+$C46))</f>
        <v/>
      </c>
      <c r="E46" s="131" t="str">
        <f ca="1">IF($B46="","",IF('Cash Flow of Project'!E46="","",NPV($C$4,OFFSET('Cash Flow of Project'!$D46,0,0,1,E$6))+$C46))</f>
        <v/>
      </c>
      <c r="F46" s="131" t="str">
        <f ca="1">IF($B46="","",IF('Cash Flow of Project'!F46="","",NPV($C$4,OFFSET('Cash Flow of Project'!$D46,0,0,1,F$6))+$C46))</f>
        <v/>
      </c>
      <c r="G46" s="131" t="str">
        <f ca="1">IF($B46="","",IF('Cash Flow of Project'!G46="","",NPV($C$4,OFFSET('Cash Flow of Project'!$D46,0,0,1,G$6))+$C46))</f>
        <v/>
      </c>
      <c r="H46" s="131" t="str">
        <f ca="1">IF($B46="","",IF('Cash Flow of Project'!H46="","",NPV($C$4,OFFSET('Cash Flow of Project'!$D46,0,0,1,H$6))+$C46))</f>
        <v/>
      </c>
      <c r="I46" s="131" t="str">
        <f ca="1">IF($B46="","",IF('Cash Flow of Project'!I46="","",NPV($C$4,OFFSET('Cash Flow of Project'!$D46,0,0,1,I$6))+$C46))</f>
        <v/>
      </c>
      <c r="J46" s="131" t="str">
        <f ca="1">IF($B46="","",IF('Cash Flow of Project'!J46="","",NPV($C$4,OFFSET('Cash Flow of Project'!$D46,0,0,1,J$6))+$C46))</f>
        <v/>
      </c>
      <c r="K46" s="131" t="str">
        <f ca="1">IF($B46="","",IF('Cash Flow of Project'!K46="","",NPV($C$4,OFFSET('Cash Flow of Project'!$D46,0,0,1,K$6))+$C46))</f>
        <v/>
      </c>
      <c r="L46" s="131" t="str">
        <f ca="1">IF($B46="","",IF('Cash Flow of Project'!L46="","",NPV($C$4,OFFSET('Cash Flow of Project'!$D46,0,0,1,L$6))+$C46))</f>
        <v/>
      </c>
      <c r="M46" s="131" t="str">
        <f ca="1">IF($B46="","",IF('Cash Flow of Project'!M46="","",NPV($C$4,OFFSET('Cash Flow of Project'!$D46,0,0,1,M$6))+$C46))</f>
        <v/>
      </c>
    </row>
    <row r="47" spans="2:13" x14ac:dyDescent="0.35">
      <c r="B47" s="125"/>
      <c r="C47" s="125"/>
      <c r="D47" s="131" t="str">
        <f ca="1">IF($B47="","",IF('Cash Flow of Project'!D47="","",NPV($C$4,OFFSET('Cash Flow of Project'!$D47,0,0,1,D$6))+$C47))</f>
        <v/>
      </c>
      <c r="E47" s="131" t="str">
        <f ca="1">IF($B47="","",IF('Cash Flow of Project'!E47="","",NPV($C$4,OFFSET('Cash Flow of Project'!$D47,0,0,1,E$6))+$C47))</f>
        <v/>
      </c>
      <c r="F47" s="131" t="str">
        <f ca="1">IF($B47="","",IF('Cash Flow of Project'!F47="","",NPV($C$4,OFFSET('Cash Flow of Project'!$D47,0,0,1,F$6))+$C47))</f>
        <v/>
      </c>
      <c r="G47" s="131" t="str">
        <f ca="1">IF($B47="","",IF('Cash Flow of Project'!G47="","",NPV($C$4,OFFSET('Cash Flow of Project'!$D47,0,0,1,G$6))+$C47))</f>
        <v/>
      </c>
      <c r="H47" s="131" t="str">
        <f ca="1">IF($B47="","",IF('Cash Flow of Project'!H47="","",NPV($C$4,OFFSET('Cash Flow of Project'!$D47,0,0,1,H$6))+$C47))</f>
        <v/>
      </c>
      <c r="I47" s="131" t="str">
        <f ca="1">IF($B47="","",IF('Cash Flow of Project'!I47="","",NPV($C$4,OFFSET('Cash Flow of Project'!$D47,0,0,1,I$6))+$C47))</f>
        <v/>
      </c>
      <c r="J47" s="131" t="str">
        <f ca="1">IF($B47="","",IF('Cash Flow of Project'!J47="","",NPV($C$4,OFFSET('Cash Flow of Project'!$D47,0,0,1,J$6))+$C47))</f>
        <v/>
      </c>
      <c r="K47" s="131" t="str">
        <f ca="1">IF($B47="","",IF('Cash Flow of Project'!K47="","",NPV($C$4,OFFSET('Cash Flow of Project'!$D47,0,0,1,K$6))+$C47))</f>
        <v/>
      </c>
      <c r="L47" s="131" t="str">
        <f ca="1">IF($B47="","",IF('Cash Flow of Project'!L47="","",NPV($C$4,OFFSET('Cash Flow of Project'!$D47,0,0,1,L$6))+$C47))</f>
        <v/>
      </c>
      <c r="M47" s="131" t="str">
        <f ca="1">IF($B47="","",IF('Cash Flow of Project'!M47="","",NPV($C$4,OFFSET('Cash Flow of Project'!$D47,0,0,1,M$6))+$C47))</f>
        <v/>
      </c>
    </row>
    <row r="48" spans="2:13" x14ac:dyDescent="0.35">
      <c r="B48" s="125"/>
      <c r="C48" s="125"/>
      <c r="D48" s="131" t="str">
        <f ca="1">IF($B48="","",IF('Cash Flow of Project'!D48="","",NPV($C$4,OFFSET('Cash Flow of Project'!$D48,0,0,1,D$6))+$C48))</f>
        <v/>
      </c>
      <c r="E48" s="131" t="str">
        <f ca="1">IF($B48="","",IF('Cash Flow of Project'!E48="","",NPV($C$4,OFFSET('Cash Flow of Project'!$D48,0,0,1,E$6))+$C48))</f>
        <v/>
      </c>
      <c r="F48" s="131" t="str">
        <f ca="1">IF($B48="","",IF('Cash Flow of Project'!F48="","",NPV($C$4,OFFSET('Cash Flow of Project'!$D48,0,0,1,F$6))+$C48))</f>
        <v/>
      </c>
      <c r="G48" s="131" t="str">
        <f ca="1">IF($B48="","",IF('Cash Flow of Project'!G48="","",NPV($C$4,OFFSET('Cash Flow of Project'!$D48,0,0,1,G$6))+$C48))</f>
        <v/>
      </c>
      <c r="H48" s="131" t="str">
        <f ca="1">IF($B48="","",IF('Cash Flow of Project'!H48="","",NPV($C$4,OFFSET('Cash Flow of Project'!$D48,0,0,1,H$6))+$C48))</f>
        <v/>
      </c>
      <c r="I48" s="131" t="str">
        <f ca="1">IF($B48="","",IF('Cash Flow of Project'!I48="","",NPV($C$4,OFFSET('Cash Flow of Project'!$D48,0,0,1,I$6))+$C48))</f>
        <v/>
      </c>
      <c r="J48" s="131" t="str">
        <f ca="1">IF($B48="","",IF('Cash Flow of Project'!J48="","",NPV($C$4,OFFSET('Cash Flow of Project'!$D48,0,0,1,J$6))+$C48))</f>
        <v/>
      </c>
      <c r="K48" s="131" t="str">
        <f ca="1">IF($B48="","",IF('Cash Flow of Project'!K48="","",NPV($C$4,OFFSET('Cash Flow of Project'!$D48,0,0,1,K$6))+$C48))</f>
        <v/>
      </c>
      <c r="L48" s="131" t="str">
        <f ca="1">IF($B48="","",IF('Cash Flow of Project'!L48="","",NPV($C$4,OFFSET('Cash Flow of Project'!$D48,0,0,1,L$6))+$C48))</f>
        <v/>
      </c>
      <c r="M48" s="131" t="str">
        <f ca="1">IF($B48="","",IF('Cash Flow of Project'!M48="","",NPV($C$4,OFFSET('Cash Flow of Project'!$D48,0,0,1,M$6))+$C48))</f>
        <v/>
      </c>
    </row>
    <row r="49" spans="2:13" x14ac:dyDescent="0.35">
      <c r="B49" s="125"/>
      <c r="C49" s="125"/>
      <c r="D49" s="131" t="str">
        <f ca="1">IF($B49="","",IF('Cash Flow of Project'!D49="","",NPV($C$4,OFFSET('Cash Flow of Project'!$D49,0,0,1,D$6))+$C49))</f>
        <v/>
      </c>
      <c r="E49" s="131" t="str">
        <f ca="1">IF($B49="","",IF('Cash Flow of Project'!E49="","",NPV($C$4,OFFSET('Cash Flow of Project'!$D49,0,0,1,E$6))+$C49))</f>
        <v/>
      </c>
      <c r="F49" s="131" t="str">
        <f ca="1">IF($B49="","",IF('Cash Flow of Project'!F49="","",NPV($C$4,OFFSET('Cash Flow of Project'!$D49,0,0,1,F$6))+$C49))</f>
        <v/>
      </c>
      <c r="G49" s="131" t="str">
        <f ca="1">IF($B49="","",IF('Cash Flow of Project'!G49="","",NPV($C$4,OFFSET('Cash Flow of Project'!$D49,0,0,1,G$6))+$C49))</f>
        <v/>
      </c>
      <c r="H49" s="131" t="str">
        <f ca="1">IF($B49="","",IF('Cash Flow of Project'!H49="","",NPV($C$4,OFFSET('Cash Flow of Project'!$D49,0,0,1,H$6))+$C49))</f>
        <v/>
      </c>
      <c r="I49" s="131" t="str">
        <f ca="1">IF($B49="","",IF('Cash Flow of Project'!I49="","",NPV($C$4,OFFSET('Cash Flow of Project'!$D49,0,0,1,I$6))+$C49))</f>
        <v/>
      </c>
      <c r="J49" s="131" t="str">
        <f ca="1">IF($B49="","",IF('Cash Flow of Project'!J49="","",NPV($C$4,OFFSET('Cash Flow of Project'!$D49,0,0,1,J$6))+$C49))</f>
        <v/>
      </c>
      <c r="K49" s="131" t="str">
        <f ca="1">IF($B49="","",IF('Cash Flow of Project'!K49="","",NPV($C$4,OFFSET('Cash Flow of Project'!$D49,0,0,1,K$6))+$C49))</f>
        <v/>
      </c>
      <c r="L49" s="131" t="str">
        <f ca="1">IF($B49="","",IF('Cash Flow of Project'!L49="","",NPV($C$4,OFFSET('Cash Flow of Project'!$D49,0,0,1,L$6))+$C49))</f>
        <v/>
      </c>
      <c r="M49" s="131" t="str">
        <f ca="1">IF($B49="","",IF('Cash Flow of Project'!M49="","",NPV($C$4,OFFSET('Cash Flow of Project'!$D49,0,0,1,M$6))+$C49))</f>
        <v/>
      </c>
    </row>
    <row r="50" spans="2:13" x14ac:dyDescent="0.35">
      <c r="B50" s="125"/>
      <c r="C50" s="125"/>
      <c r="D50" s="131" t="str">
        <f ca="1">IF($B50="","",IF('Cash Flow of Project'!D50="","",NPV($C$4,OFFSET('Cash Flow of Project'!$D50,0,0,1,D$6))+$C50))</f>
        <v/>
      </c>
      <c r="E50" s="131" t="str">
        <f ca="1">IF($B50="","",IF('Cash Flow of Project'!E50="","",NPV($C$4,OFFSET('Cash Flow of Project'!$D50,0,0,1,E$6))+$C50))</f>
        <v/>
      </c>
      <c r="F50" s="131" t="str">
        <f ca="1">IF($B50="","",IF('Cash Flow of Project'!F50="","",NPV($C$4,OFFSET('Cash Flow of Project'!$D50,0,0,1,F$6))+$C50))</f>
        <v/>
      </c>
      <c r="G50" s="131" t="str">
        <f ca="1">IF($B50="","",IF('Cash Flow of Project'!G50="","",NPV($C$4,OFFSET('Cash Flow of Project'!$D50,0,0,1,G$6))+$C50))</f>
        <v/>
      </c>
      <c r="H50" s="131" t="str">
        <f ca="1">IF($B50="","",IF('Cash Flow of Project'!H50="","",NPV($C$4,OFFSET('Cash Flow of Project'!$D50,0,0,1,H$6))+$C50))</f>
        <v/>
      </c>
      <c r="I50" s="131" t="str">
        <f ca="1">IF($B50="","",IF('Cash Flow of Project'!I50="","",NPV($C$4,OFFSET('Cash Flow of Project'!$D50,0,0,1,I$6))+$C50))</f>
        <v/>
      </c>
      <c r="J50" s="131" t="str">
        <f ca="1">IF($B50="","",IF('Cash Flow of Project'!J50="","",NPV($C$4,OFFSET('Cash Flow of Project'!$D50,0,0,1,J$6))+$C50))</f>
        <v/>
      </c>
      <c r="K50" s="131" t="str">
        <f ca="1">IF($B50="","",IF('Cash Flow of Project'!K50="","",NPV($C$4,OFFSET('Cash Flow of Project'!$D50,0,0,1,K$6))+$C50))</f>
        <v/>
      </c>
      <c r="L50" s="131" t="str">
        <f ca="1">IF($B50="","",IF('Cash Flow of Project'!L50="","",NPV($C$4,OFFSET('Cash Flow of Project'!$D50,0,0,1,L$6))+$C50))</f>
        <v/>
      </c>
      <c r="M50" s="131" t="str">
        <f ca="1">IF($B50="","",IF('Cash Flow of Project'!M50="","",NPV($C$4,OFFSET('Cash Flow of Project'!$D50,0,0,1,M$6))+$C50))</f>
        <v/>
      </c>
    </row>
    <row r="51" spans="2:13" x14ac:dyDescent="0.35">
      <c r="B51" s="125"/>
      <c r="C51" s="125"/>
      <c r="D51" s="131" t="str">
        <f ca="1">IF($B51="","",IF('Cash Flow of Project'!D51="","",NPV($C$4,OFFSET('Cash Flow of Project'!$D51,0,0,1,D$6))+$C51))</f>
        <v/>
      </c>
      <c r="E51" s="131" t="str">
        <f ca="1">IF($B51="","",IF('Cash Flow of Project'!E51="","",NPV($C$4,OFFSET('Cash Flow of Project'!$D51,0,0,1,E$6))+$C51))</f>
        <v/>
      </c>
      <c r="F51" s="131" t="str">
        <f ca="1">IF($B51="","",IF('Cash Flow of Project'!F51="","",NPV($C$4,OFFSET('Cash Flow of Project'!$D51,0,0,1,F$6))+$C51))</f>
        <v/>
      </c>
      <c r="G51" s="131" t="str">
        <f ca="1">IF($B51="","",IF('Cash Flow of Project'!G51="","",NPV($C$4,OFFSET('Cash Flow of Project'!$D51,0,0,1,G$6))+$C51))</f>
        <v/>
      </c>
      <c r="H51" s="131" t="str">
        <f ca="1">IF($B51="","",IF('Cash Flow of Project'!H51="","",NPV($C$4,OFFSET('Cash Flow of Project'!$D51,0,0,1,H$6))+$C51))</f>
        <v/>
      </c>
      <c r="I51" s="131" t="str">
        <f ca="1">IF($B51="","",IF('Cash Flow of Project'!I51="","",NPV($C$4,OFFSET('Cash Flow of Project'!$D51,0,0,1,I$6))+$C51))</f>
        <v/>
      </c>
      <c r="J51" s="131" t="str">
        <f ca="1">IF($B51="","",IF('Cash Flow of Project'!J51="","",NPV($C$4,OFFSET('Cash Flow of Project'!$D51,0,0,1,J$6))+$C51))</f>
        <v/>
      </c>
      <c r="K51" s="131" t="str">
        <f ca="1">IF($B51="","",IF('Cash Flow of Project'!K51="","",NPV($C$4,OFFSET('Cash Flow of Project'!$D51,0,0,1,K$6))+$C51))</f>
        <v/>
      </c>
      <c r="L51" s="131" t="str">
        <f ca="1">IF($B51="","",IF('Cash Flow of Project'!L51="","",NPV($C$4,OFFSET('Cash Flow of Project'!$D51,0,0,1,L$6))+$C51))</f>
        <v/>
      </c>
      <c r="M51" s="131" t="str">
        <f ca="1">IF($B51="","",IF('Cash Flow of Project'!M51="","",NPV($C$4,OFFSET('Cash Flow of Project'!$D51,0,0,1,M$6))+$C51))</f>
        <v/>
      </c>
    </row>
    <row r="52" spans="2:13" x14ac:dyDescent="0.35">
      <c r="B52" s="125"/>
      <c r="C52" s="125"/>
      <c r="D52" s="131" t="str">
        <f ca="1">IF($B52="","",IF('Cash Flow of Project'!D52="","",NPV($C$4,OFFSET('Cash Flow of Project'!$D52,0,0,1,D$6))+$C52))</f>
        <v/>
      </c>
      <c r="E52" s="131" t="str">
        <f ca="1">IF($B52="","",IF('Cash Flow of Project'!E52="","",NPV($C$4,OFFSET('Cash Flow of Project'!$D52,0,0,1,E$6))+$C52))</f>
        <v/>
      </c>
      <c r="F52" s="131" t="str">
        <f ca="1">IF($B52="","",IF('Cash Flow of Project'!F52="","",NPV($C$4,OFFSET('Cash Flow of Project'!$D52,0,0,1,F$6))+$C52))</f>
        <v/>
      </c>
      <c r="G52" s="131" t="str">
        <f ca="1">IF($B52="","",IF('Cash Flow of Project'!G52="","",NPV($C$4,OFFSET('Cash Flow of Project'!$D52,0,0,1,G$6))+$C52))</f>
        <v/>
      </c>
      <c r="H52" s="131" t="str">
        <f ca="1">IF($B52="","",IF('Cash Flow of Project'!H52="","",NPV($C$4,OFFSET('Cash Flow of Project'!$D52,0,0,1,H$6))+$C52))</f>
        <v/>
      </c>
      <c r="I52" s="131" t="str">
        <f ca="1">IF($B52="","",IF('Cash Flow of Project'!I52="","",NPV($C$4,OFFSET('Cash Flow of Project'!$D52,0,0,1,I$6))+$C52))</f>
        <v/>
      </c>
      <c r="J52" s="131" t="str">
        <f ca="1">IF($B52="","",IF('Cash Flow of Project'!J52="","",NPV($C$4,OFFSET('Cash Flow of Project'!$D52,0,0,1,J$6))+$C52))</f>
        <v/>
      </c>
      <c r="K52" s="131" t="str">
        <f ca="1">IF($B52="","",IF('Cash Flow of Project'!K52="","",NPV($C$4,OFFSET('Cash Flow of Project'!$D52,0,0,1,K$6))+$C52))</f>
        <v/>
      </c>
      <c r="L52" s="131" t="str">
        <f ca="1">IF($B52="","",IF('Cash Flow of Project'!L52="","",NPV($C$4,OFFSET('Cash Flow of Project'!$D52,0,0,1,L$6))+$C52))</f>
        <v/>
      </c>
      <c r="M52" s="131" t="str">
        <f ca="1">IF($B52="","",IF('Cash Flow of Project'!M52="","",NPV($C$4,OFFSET('Cash Flow of Project'!$D52,0,0,1,M$6))+$C52))</f>
        <v/>
      </c>
    </row>
    <row r="53" spans="2:13" x14ac:dyDescent="0.35">
      <c r="B53" s="125"/>
      <c r="C53" s="125"/>
      <c r="D53" s="131" t="str">
        <f ca="1">IF($B53="","",IF('Cash Flow of Project'!D53="","",NPV($C$4,OFFSET('Cash Flow of Project'!$D53,0,0,1,D$6))+$C53))</f>
        <v/>
      </c>
      <c r="E53" s="131" t="str">
        <f ca="1">IF($B53="","",IF('Cash Flow of Project'!E53="","",NPV($C$4,OFFSET('Cash Flow of Project'!$D53,0,0,1,E$6))+$C53))</f>
        <v/>
      </c>
      <c r="F53" s="131" t="str">
        <f ca="1">IF($B53="","",IF('Cash Flow of Project'!F53="","",NPV($C$4,OFFSET('Cash Flow of Project'!$D53,0,0,1,F$6))+$C53))</f>
        <v/>
      </c>
      <c r="G53" s="131" t="str">
        <f ca="1">IF($B53="","",IF('Cash Flow of Project'!G53="","",NPV($C$4,OFFSET('Cash Flow of Project'!$D53,0,0,1,G$6))+$C53))</f>
        <v/>
      </c>
      <c r="H53" s="131" t="str">
        <f ca="1">IF($B53="","",IF('Cash Flow of Project'!H53="","",NPV($C$4,OFFSET('Cash Flow of Project'!$D53,0,0,1,H$6))+$C53))</f>
        <v/>
      </c>
      <c r="I53" s="131" t="str">
        <f ca="1">IF($B53="","",IF('Cash Flow of Project'!I53="","",NPV($C$4,OFFSET('Cash Flow of Project'!$D53,0,0,1,I$6))+$C53))</f>
        <v/>
      </c>
      <c r="J53" s="131" t="str">
        <f ca="1">IF($B53="","",IF('Cash Flow of Project'!J53="","",NPV($C$4,OFFSET('Cash Flow of Project'!$D53,0,0,1,J$6))+$C53))</f>
        <v/>
      </c>
      <c r="K53" s="131" t="str">
        <f ca="1">IF($B53="","",IF('Cash Flow of Project'!K53="","",NPV($C$4,OFFSET('Cash Flow of Project'!$D53,0,0,1,K$6))+$C53))</f>
        <v/>
      </c>
      <c r="L53" s="131" t="str">
        <f ca="1">IF($B53="","",IF('Cash Flow of Project'!L53="","",NPV($C$4,OFFSET('Cash Flow of Project'!$D53,0,0,1,L$6))+$C53))</f>
        <v/>
      </c>
      <c r="M53" s="131" t="str">
        <f ca="1">IF($B53="","",IF('Cash Flow of Project'!M53="","",NPV($C$4,OFFSET('Cash Flow of Project'!$D53,0,0,1,M$6))+$C53))</f>
        <v/>
      </c>
    </row>
    <row r="54" spans="2:13" x14ac:dyDescent="0.35">
      <c r="B54" s="125"/>
      <c r="C54" s="125"/>
      <c r="D54" s="131" t="str">
        <f ca="1">IF($B54="","",IF('Cash Flow of Project'!D54="","",NPV($C$4,OFFSET('Cash Flow of Project'!$D54,0,0,1,D$6))+$C54))</f>
        <v/>
      </c>
      <c r="E54" s="131" t="str">
        <f ca="1">IF($B54="","",IF('Cash Flow of Project'!E54="","",NPV($C$4,OFFSET('Cash Flow of Project'!$D54,0,0,1,E$6))+$C54))</f>
        <v/>
      </c>
      <c r="F54" s="131" t="str">
        <f ca="1">IF($B54="","",IF('Cash Flow of Project'!F54="","",NPV($C$4,OFFSET('Cash Flow of Project'!$D54,0,0,1,F$6))+$C54))</f>
        <v/>
      </c>
      <c r="G54" s="131" t="str">
        <f ca="1">IF($B54="","",IF('Cash Flow of Project'!G54="","",NPV($C$4,OFFSET('Cash Flow of Project'!$D54,0,0,1,G$6))+$C54))</f>
        <v/>
      </c>
      <c r="H54" s="131" t="str">
        <f ca="1">IF($B54="","",IF('Cash Flow of Project'!H54="","",NPV($C$4,OFFSET('Cash Flow of Project'!$D54,0,0,1,H$6))+$C54))</f>
        <v/>
      </c>
      <c r="I54" s="131" t="str">
        <f ca="1">IF($B54="","",IF('Cash Flow of Project'!I54="","",NPV($C$4,OFFSET('Cash Flow of Project'!$D54,0,0,1,I$6))+$C54))</f>
        <v/>
      </c>
      <c r="J54" s="131" t="str">
        <f ca="1">IF($B54="","",IF('Cash Flow of Project'!J54="","",NPV($C$4,OFFSET('Cash Flow of Project'!$D54,0,0,1,J$6))+$C54))</f>
        <v/>
      </c>
      <c r="K54" s="131" t="str">
        <f ca="1">IF($B54="","",IF('Cash Flow of Project'!K54="","",NPV($C$4,OFFSET('Cash Flow of Project'!$D54,0,0,1,K$6))+$C54))</f>
        <v/>
      </c>
      <c r="L54" s="131" t="str">
        <f ca="1">IF($B54="","",IF('Cash Flow of Project'!L54="","",NPV($C$4,OFFSET('Cash Flow of Project'!$D54,0,0,1,L$6))+$C54))</f>
        <v/>
      </c>
      <c r="M54" s="131" t="str">
        <f ca="1">IF($B54="","",IF('Cash Flow of Project'!M54="","",NPV($C$4,OFFSET('Cash Flow of Project'!$D54,0,0,1,M$6))+$C54))</f>
        <v/>
      </c>
    </row>
    <row r="55" spans="2:13" x14ac:dyDescent="0.35">
      <c r="B55" s="125"/>
      <c r="C55" s="125"/>
      <c r="D55" s="131" t="str">
        <f ca="1">IF($B55="","",IF('Cash Flow of Project'!D55="","",NPV($C$4,OFFSET('Cash Flow of Project'!$D55,0,0,1,D$6))+$C55))</f>
        <v/>
      </c>
      <c r="E55" s="131" t="str">
        <f ca="1">IF($B55="","",IF('Cash Flow of Project'!E55="","",NPV($C$4,OFFSET('Cash Flow of Project'!$D55,0,0,1,E$6))+$C55))</f>
        <v/>
      </c>
      <c r="F55" s="131" t="str">
        <f ca="1">IF($B55="","",IF('Cash Flow of Project'!F55="","",NPV($C$4,OFFSET('Cash Flow of Project'!$D55,0,0,1,F$6))+$C55))</f>
        <v/>
      </c>
      <c r="G55" s="131" t="str">
        <f ca="1">IF($B55="","",IF('Cash Flow of Project'!G55="","",NPV($C$4,OFFSET('Cash Flow of Project'!$D55,0,0,1,G$6))+$C55))</f>
        <v/>
      </c>
      <c r="H55" s="131" t="str">
        <f ca="1">IF($B55="","",IF('Cash Flow of Project'!H55="","",NPV($C$4,OFFSET('Cash Flow of Project'!$D55,0,0,1,H$6))+$C55))</f>
        <v/>
      </c>
      <c r="I55" s="131" t="str">
        <f ca="1">IF($B55="","",IF('Cash Flow of Project'!I55="","",NPV($C$4,OFFSET('Cash Flow of Project'!$D55,0,0,1,I$6))+$C55))</f>
        <v/>
      </c>
      <c r="J55" s="131" t="str">
        <f ca="1">IF($B55="","",IF('Cash Flow of Project'!J55="","",NPV($C$4,OFFSET('Cash Flow of Project'!$D55,0,0,1,J$6))+$C55))</f>
        <v/>
      </c>
      <c r="K55" s="131" t="str">
        <f ca="1">IF($B55="","",IF('Cash Flow of Project'!K55="","",NPV($C$4,OFFSET('Cash Flow of Project'!$D55,0,0,1,K$6))+$C55))</f>
        <v/>
      </c>
      <c r="L55" s="131" t="str">
        <f ca="1">IF($B55="","",IF('Cash Flow of Project'!L55="","",NPV($C$4,OFFSET('Cash Flow of Project'!$D55,0,0,1,L$6))+$C55))</f>
        <v/>
      </c>
      <c r="M55" s="131" t="str">
        <f ca="1">IF($B55="","",IF('Cash Flow of Project'!M55="","",NPV($C$4,OFFSET('Cash Flow of Project'!$D55,0,0,1,M$6))+$C55))</f>
        <v/>
      </c>
    </row>
    <row r="56" spans="2:13" x14ac:dyDescent="0.35">
      <c r="B56" s="125"/>
      <c r="C56" s="125"/>
      <c r="D56" s="131" t="str">
        <f ca="1">IF($B56="","",IF('Cash Flow of Project'!D56="","",NPV($C$4,OFFSET('Cash Flow of Project'!$D56,0,0,1,D$6))+$C56))</f>
        <v/>
      </c>
      <c r="E56" s="131" t="str">
        <f ca="1">IF($B56="","",IF('Cash Flow of Project'!E56="","",NPV($C$4,OFFSET('Cash Flow of Project'!$D56,0,0,1,E$6))+$C56))</f>
        <v/>
      </c>
      <c r="F56" s="131" t="str">
        <f ca="1">IF($B56="","",IF('Cash Flow of Project'!F56="","",NPV($C$4,OFFSET('Cash Flow of Project'!$D56,0,0,1,F$6))+$C56))</f>
        <v/>
      </c>
      <c r="G56" s="131" t="str">
        <f ca="1">IF($B56="","",IF('Cash Flow of Project'!G56="","",NPV($C$4,OFFSET('Cash Flow of Project'!$D56,0,0,1,G$6))+$C56))</f>
        <v/>
      </c>
      <c r="H56" s="131" t="str">
        <f ca="1">IF($B56="","",IF('Cash Flow of Project'!H56="","",NPV($C$4,OFFSET('Cash Flow of Project'!$D56,0,0,1,H$6))+$C56))</f>
        <v/>
      </c>
      <c r="I56" s="131" t="str">
        <f ca="1">IF($B56="","",IF('Cash Flow of Project'!I56="","",NPV($C$4,OFFSET('Cash Flow of Project'!$D56,0,0,1,I$6))+$C56))</f>
        <v/>
      </c>
      <c r="J56" s="131" t="str">
        <f ca="1">IF($B56="","",IF('Cash Flow of Project'!J56="","",NPV($C$4,OFFSET('Cash Flow of Project'!$D56,0,0,1,J$6))+$C56))</f>
        <v/>
      </c>
      <c r="K56" s="131" t="str">
        <f ca="1">IF($B56="","",IF('Cash Flow of Project'!K56="","",NPV($C$4,OFFSET('Cash Flow of Project'!$D56,0,0,1,K$6))+$C56))</f>
        <v/>
      </c>
      <c r="L56" s="131" t="str">
        <f ca="1">IF($B56="","",IF('Cash Flow of Project'!L56="","",NPV($C$4,OFFSET('Cash Flow of Project'!$D56,0,0,1,L$6))+$C56))</f>
        <v/>
      </c>
      <c r="M56" s="131" t="str">
        <f ca="1">IF($B56="","",IF('Cash Flow of Project'!M56="","",NPV($C$4,OFFSET('Cash Flow of Project'!$D56,0,0,1,M$6))+$C56))</f>
        <v/>
      </c>
    </row>
    <row r="57" spans="2:13" x14ac:dyDescent="0.35">
      <c r="B57" s="125"/>
      <c r="C57" s="125"/>
      <c r="D57" s="131" t="str">
        <f ca="1">IF($B57="","",IF('Cash Flow of Project'!D57="","",NPV($C$4,OFFSET('Cash Flow of Project'!$D57,0,0,1,D$6))+$C57))</f>
        <v/>
      </c>
      <c r="E57" s="131" t="str">
        <f ca="1">IF($B57="","",IF('Cash Flow of Project'!E57="","",NPV($C$4,OFFSET('Cash Flow of Project'!$D57,0,0,1,E$6))+$C57))</f>
        <v/>
      </c>
      <c r="F57" s="131" t="str">
        <f ca="1">IF($B57="","",IF('Cash Flow of Project'!F57="","",NPV($C$4,OFFSET('Cash Flow of Project'!$D57,0,0,1,F$6))+$C57))</f>
        <v/>
      </c>
      <c r="G57" s="131" t="str">
        <f ca="1">IF($B57="","",IF('Cash Flow of Project'!G57="","",NPV($C$4,OFFSET('Cash Flow of Project'!$D57,0,0,1,G$6))+$C57))</f>
        <v/>
      </c>
      <c r="H57" s="131" t="str">
        <f ca="1">IF($B57="","",IF('Cash Flow of Project'!H57="","",NPV($C$4,OFFSET('Cash Flow of Project'!$D57,0,0,1,H$6))+$C57))</f>
        <v/>
      </c>
      <c r="I57" s="131" t="str">
        <f ca="1">IF($B57="","",IF('Cash Flow of Project'!I57="","",NPV($C$4,OFFSET('Cash Flow of Project'!$D57,0,0,1,I$6))+$C57))</f>
        <v/>
      </c>
      <c r="J57" s="131" t="str">
        <f ca="1">IF($B57="","",IF('Cash Flow of Project'!J57="","",NPV($C$4,OFFSET('Cash Flow of Project'!$D57,0,0,1,J$6))+$C57))</f>
        <v/>
      </c>
      <c r="K57" s="131" t="str">
        <f ca="1">IF($B57="","",IF('Cash Flow of Project'!K57="","",NPV($C$4,OFFSET('Cash Flow of Project'!$D57,0,0,1,K$6))+$C57))</f>
        <v/>
      </c>
      <c r="L57" s="131" t="str">
        <f ca="1">IF($B57="","",IF('Cash Flow of Project'!L57="","",NPV($C$4,OFFSET('Cash Flow of Project'!$D57,0,0,1,L$6))+$C57))</f>
        <v/>
      </c>
      <c r="M57" s="131" t="str">
        <f ca="1">IF($B57="","",IF('Cash Flow of Project'!M57="","",NPV($C$4,OFFSET('Cash Flow of Project'!$D57,0,0,1,M$6))+$C57))</f>
        <v/>
      </c>
    </row>
    <row r="58" spans="2:13" x14ac:dyDescent="0.35">
      <c r="B58" s="125"/>
      <c r="C58" s="125"/>
      <c r="D58" s="131" t="str">
        <f ca="1">IF($B58="","",IF('Cash Flow of Project'!D58="","",NPV($C$4,OFFSET('Cash Flow of Project'!$D58,0,0,1,D$6))+$C58))</f>
        <v/>
      </c>
      <c r="E58" s="131" t="str">
        <f ca="1">IF($B58="","",IF('Cash Flow of Project'!E58="","",NPV($C$4,OFFSET('Cash Flow of Project'!$D58,0,0,1,E$6))+$C58))</f>
        <v/>
      </c>
      <c r="F58" s="131" t="str">
        <f ca="1">IF($B58="","",IF('Cash Flow of Project'!F58="","",NPV($C$4,OFFSET('Cash Flow of Project'!$D58,0,0,1,F$6))+$C58))</f>
        <v/>
      </c>
      <c r="G58" s="131" t="str">
        <f ca="1">IF($B58="","",IF('Cash Flow of Project'!G58="","",NPV($C$4,OFFSET('Cash Flow of Project'!$D58,0,0,1,G$6))+$C58))</f>
        <v/>
      </c>
      <c r="H58" s="131" t="str">
        <f ca="1">IF($B58="","",IF('Cash Flow of Project'!H58="","",NPV($C$4,OFFSET('Cash Flow of Project'!$D58,0,0,1,H$6))+$C58))</f>
        <v/>
      </c>
      <c r="I58" s="131" t="str">
        <f ca="1">IF($B58="","",IF('Cash Flow of Project'!I58="","",NPV($C$4,OFFSET('Cash Flow of Project'!$D58,0,0,1,I$6))+$C58))</f>
        <v/>
      </c>
      <c r="J58" s="131" t="str">
        <f ca="1">IF($B58="","",IF('Cash Flow of Project'!J58="","",NPV($C$4,OFFSET('Cash Flow of Project'!$D58,0,0,1,J$6))+$C58))</f>
        <v/>
      </c>
      <c r="K58" s="131" t="str">
        <f ca="1">IF($B58="","",IF('Cash Flow of Project'!K58="","",NPV($C$4,OFFSET('Cash Flow of Project'!$D58,0,0,1,K$6))+$C58))</f>
        <v/>
      </c>
      <c r="L58" s="131" t="str">
        <f ca="1">IF($B58="","",IF('Cash Flow of Project'!L58="","",NPV($C$4,OFFSET('Cash Flow of Project'!$D58,0,0,1,L$6))+$C58))</f>
        <v/>
      </c>
      <c r="M58" s="131" t="str">
        <f ca="1">IF($B58="","",IF('Cash Flow of Project'!M58="","",NPV($C$4,OFFSET('Cash Flow of Project'!$D58,0,0,1,M$6))+$C58))</f>
        <v/>
      </c>
    </row>
    <row r="59" spans="2:13" x14ac:dyDescent="0.35">
      <c r="B59" s="125"/>
      <c r="C59" s="125"/>
      <c r="D59" s="131" t="str">
        <f ca="1">IF($B59="","",IF('Cash Flow of Project'!D59="","",NPV($C$4,OFFSET('Cash Flow of Project'!$D59,0,0,1,D$6))+$C59))</f>
        <v/>
      </c>
      <c r="E59" s="131" t="str">
        <f ca="1">IF($B59="","",IF('Cash Flow of Project'!E59="","",NPV($C$4,OFFSET('Cash Flow of Project'!$D59,0,0,1,E$6))+$C59))</f>
        <v/>
      </c>
      <c r="F59" s="131" t="str">
        <f ca="1">IF($B59="","",IF('Cash Flow of Project'!F59="","",NPV($C$4,OFFSET('Cash Flow of Project'!$D59,0,0,1,F$6))+$C59))</f>
        <v/>
      </c>
      <c r="G59" s="131" t="str">
        <f ca="1">IF($B59="","",IF('Cash Flow of Project'!G59="","",NPV($C$4,OFFSET('Cash Flow of Project'!$D59,0,0,1,G$6))+$C59))</f>
        <v/>
      </c>
      <c r="H59" s="131" t="str">
        <f ca="1">IF($B59="","",IF('Cash Flow of Project'!H59="","",NPV($C$4,OFFSET('Cash Flow of Project'!$D59,0,0,1,H$6))+$C59))</f>
        <v/>
      </c>
      <c r="I59" s="131" t="str">
        <f ca="1">IF($B59="","",IF('Cash Flow of Project'!I59="","",NPV($C$4,OFFSET('Cash Flow of Project'!$D59,0,0,1,I$6))+$C59))</f>
        <v/>
      </c>
      <c r="J59" s="131" t="str">
        <f ca="1">IF($B59="","",IF('Cash Flow of Project'!J59="","",NPV($C$4,OFFSET('Cash Flow of Project'!$D59,0,0,1,J$6))+$C59))</f>
        <v/>
      </c>
      <c r="K59" s="131" t="str">
        <f ca="1">IF($B59="","",IF('Cash Flow of Project'!K59="","",NPV($C$4,OFFSET('Cash Flow of Project'!$D59,0,0,1,K$6))+$C59))</f>
        <v/>
      </c>
      <c r="L59" s="131" t="str">
        <f ca="1">IF($B59="","",IF('Cash Flow of Project'!L59="","",NPV($C$4,OFFSET('Cash Flow of Project'!$D59,0,0,1,L$6))+$C59))</f>
        <v/>
      </c>
      <c r="M59" s="131" t="str">
        <f ca="1">IF($B59="","",IF('Cash Flow of Project'!M59="","",NPV($C$4,OFFSET('Cash Flow of Project'!$D59,0,0,1,M$6))+$C59))</f>
        <v/>
      </c>
    </row>
    <row r="60" spans="2:13" x14ac:dyDescent="0.35">
      <c r="B60" s="125"/>
      <c r="C60" s="125"/>
      <c r="D60" s="131" t="str">
        <f ca="1">IF($B60="","",IF('Cash Flow of Project'!D60="","",NPV($C$4,OFFSET('Cash Flow of Project'!$D60,0,0,1,D$6))+$C60))</f>
        <v/>
      </c>
      <c r="E60" s="131" t="str">
        <f ca="1">IF($B60="","",IF('Cash Flow of Project'!E60="","",NPV($C$4,OFFSET('Cash Flow of Project'!$D60,0,0,1,E$6))+$C60))</f>
        <v/>
      </c>
      <c r="F60" s="131" t="str">
        <f ca="1">IF($B60="","",IF('Cash Flow of Project'!F60="","",NPV($C$4,OFFSET('Cash Flow of Project'!$D60,0,0,1,F$6))+$C60))</f>
        <v/>
      </c>
      <c r="G60" s="131" t="str">
        <f ca="1">IF($B60="","",IF('Cash Flow of Project'!G60="","",NPV($C$4,OFFSET('Cash Flow of Project'!$D60,0,0,1,G$6))+$C60))</f>
        <v/>
      </c>
      <c r="H60" s="131" t="str">
        <f ca="1">IF($B60="","",IF('Cash Flow of Project'!H60="","",NPV($C$4,OFFSET('Cash Flow of Project'!$D60,0,0,1,H$6))+$C60))</f>
        <v/>
      </c>
      <c r="I60" s="131" t="str">
        <f ca="1">IF($B60="","",IF('Cash Flow of Project'!I60="","",NPV($C$4,OFFSET('Cash Flow of Project'!$D60,0,0,1,I$6))+$C60))</f>
        <v/>
      </c>
      <c r="J60" s="131" t="str">
        <f ca="1">IF($B60="","",IF('Cash Flow of Project'!J60="","",NPV($C$4,OFFSET('Cash Flow of Project'!$D60,0,0,1,J$6))+$C60))</f>
        <v/>
      </c>
      <c r="K60" s="131" t="str">
        <f ca="1">IF($B60="","",IF('Cash Flow of Project'!K60="","",NPV($C$4,OFFSET('Cash Flow of Project'!$D60,0,0,1,K$6))+$C60))</f>
        <v/>
      </c>
      <c r="L60" s="131" t="str">
        <f ca="1">IF($B60="","",IF('Cash Flow of Project'!L60="","",NPV($C$4,OFFSET('Cash Flow of Project'!$D60,0,0,1,L$6))+$C60))</f>
        <v/>
      </c>
      <c r="M60" s="131" t="str">
        <f ca="1">IF($B60="","",IF('Cash Flow of Project'!M60="","",NPV($C$4,OFFSET('Cash Flow of Project'!$D60,0,0,1,M$6))+$C60))</f>
        <v/>
      </c>
    </row>
    <row r="61" spans="2:13" x14ac:dyDescent="0.35">
      <c r="B61" s="125"/>
      <c r="C61" s="125"/>
      <c r="D61" s="131" t="str">
        <f ca="1">IF($B61="","",IF('Cash Flow of Project'!D61="","",NPV($C$4,OFFSET('Cash Flow of Project'!$D61,0,0,1,D$6))+$C61))</f>
        <v/>
      </c>
      <c r="E61" s="131" t="str">
        <f ca="1">IF($B61="","",IF('Cash Flow of Project'!E61="","",NPV($C$4,OFFSET('Cash Flow of Project'!$D61,0,0,1,E$6))+$C61))</f>
        <v/>
      </c>
      <c r="F61" s="131" t="str">
        <f ca="1">IF($B61="","",IF('Cash Flow of Project'!F61="","",NPV($C$4,OFFSET('Cash Flow of Project'!$D61,0,0,1,F$6))+$C61))</f>
        <v/>
      </c>
      <c r="G61" s="131" t="str">
        <f ca="1">IF($B61="","",IF('Cash Flow of Project'!G61="","",NPV($C$4,OFFSET('Cash Flow of Project'!$D61,0,0,1,G$6))+$C61))</f>
        <v/>
      </c>
      <c r="H61" s="131" t="str">
        <f ca="1">IF($B61="","",IF('Cash Flow of Project'!H61="","",NPV($C$4,OFFSET('Cash Flow of Project'!$D61,0,0,1,H$6))+$C61))</f>
        <v/>
      </c>
      <c r="I61" s="131" t="str">
        <f ca="1">IF($B61="","",IF('Cash Flow of Project'!I61="","",NPV($C$4,OFFSET('Cash Flow of Project'!$D61,0,0,1,I$6))+$C61))</f>
        <v/>
      </c>
      <c r="J61" s="131" t="str">
        <f ca="1">IF($B61="","",IF('Cash Flow of Project'!J61="","",NPV($C$4,OFFSET('Cash Flow of Project'!$D61,0,0,1,J$6))+$C61))</f>
        <v/>
      </c>
      <c r="K61" s="131" t="str">
        <f ca="1">IF($B61="","",IF('Cash Flow of Project'!K61="","",NPV($C$4,OFFSET('Cash Flow of Project'!$D61,0,0,1,K$6))+$C61))</f>
        <v/>
      </c>
      <c r="L61" s="131" t="str">
        <f ca="1">IF($B61="","",IF('Cash Flow of Project'!L61="","",NPV($C$4,OFFSET('Cash Flow of Project'!$D61,0,0,1,L$6))+$C61))</f>
        <v/>
      </c>
      <c r="M61" s="131" t="str">
        <f ca="1">IF($B61="","",IF('Cash Flow of Project'!M61="","",NPV($C$4,OFFSET('Cash Flow of Project'!$D61,0,0,1,M$6))+$C61))</f>
        <v/>
      </c>
    </row>
    <row r="62" spans="2:13" x14ac:dyDescent="0.35">
      <c r="B62" s="125"/>
      <c r="C62" s="125"/>
      <c r="D62" s="131" t="str">
        <f ca="1">IF($B62="","",IF('Cash Flow of Project'!D62="","",NPV($C$4,OFFSET('Cash Flow of Project'!$D62,0,0,1,D$6))+$C62))</f>
        <v/>
      </c>
      <c r="E62" s="131" t="str">
        <f ca="1">IF($B62="","",IF('Cash Flow of Project'!E62="","",NPV($C$4,OFFSET('Cash Flow of Project'!$D62,0,0,1,E$6))+$C62))</f>
        <v/>
      </c>
      <c r="F62" s="131" t="str">
        <f ca="1">IF($B62="","",IF('Cash Flow of Project'!F62="","",NPV($C$4,OFFSET('Cash Flow of Project'!$D62,0,0,1,F$6))+$C62))</f>
        <v/>
      </c>
      <c r="G62" s="131" t="str">
        <f ca="1">IF($B62="","",IF('Cash Flow of Project'!G62="","",NPV($C$4,OFFSET('Cash Flow of Project'!$D62,0,0,1,G$6))+$C62))</f>
        <v/>
      </c>
      <c r="H62" s="131" t="str">
        <f ca="1">IF($B62="","",IF('Cash Flow of Project'!H62="","",NPV($C$4,OFFSET('Cash Flow of Project'!$D62,0,0,1,H$6))+$C62))</f>
        <v/>
      </c>
      <c r="I62" s="131" t="str">
        <f ca="1">IF($B62="","",IF('Cash Flow of Project'!I62="","",NPV($C$4,OFFSET('Cash Flow of Project'!$D62,0,0,1,I$6))+$C62))</f>
        <v/>
      </c>
      <c r="J62" s="131" t="str">
        <f ca="1">IF($B62="","",IF('Cash Flow of Project'!J62="","",NPV($C$4,OFFSET('Cash Flow of Project'!$D62,0,0,1,J$6))+$C62))</f>
        <v/>
      </c>
      <c r="K62" s="131" t="str">
        <f ca="1">IF($B62="","",IF('Cash Flow of Project'!K62="","",NPV($C$4,OFFSET('Cash Flow of Project'!$D62,0,0,1,K$6))+$C62))</f>
        <v/>
      </c>
      <c r="L62" s="131" t="str">
        <f ca="1">IF($B62="","",IF('Cash Flow of Project'!L62="","",NPV($C$4,OFFSET('Cash Flow of Project'!$D62,0,0,1,L$6))+$C62))</f>
        <v/>
      </c>
      <c r="M62" s="131" t="str">
        <f ca="1">IF($B62="","",IF('Cash Flow of Project'!M62="","",NPV($C$4,OFFSET('Cash Flow of Project'!$D62,0,0,1,M$6))+$C62))</f>
        <v/>
      </c>
    </row>
    <row r="63" spans="2:13" x14ac:dyDescent="0.35">
      <c r="B63" s="125"/>
      <c r="C63" s="125"/>
      <c r="D63" s="131" t="str">
        <f ca="1">IF($B63="","",IF('Cash Flow of Project'!D63="","",NPV($C$4,OFFSET('Cash Flow of Project'!$D63,0,0,1,D$6))+$C63))</f>
        <v/>
      </c>
      <c r="E63" s="131" t="str">
        <f ca="1">IF($B63="","",IF('Cash Flow of Project'!E63="","",NPV($C$4,OFFSET('Cash Flow of Project'!$D63,0,0,1,E$6))+$C63))</f>
        <v/>
      </c>
      <c r="F63" s="131" t="str">
        <f ca="1">IF($B63="","",IF('Cash Flow of Project'!F63="","",NPV($C$4,OFFSET('Cash Flow of Project'!$D63,0,0,1,F$6))+$C63))</f>
        <v/>
      </c>
      <c r="G63" s="131" t="str">
        <f ca="1">IF($B63="","",IF('Cash Flow of Project'!G63="","",NPV($C$4,OFFSET('Cash Flow of Project'!$D63,0,0,1,G$6))+$C63))</f>
        <v/>
      </c>
      <c r="H63" s="131" t="str">
        <f ca="1">IF($B63="","",IF('Cash Flow of Project'!H63="","",NPV($C$4,OFFSET('Cash Flow of Project'!$D63,0,0,1,H$6))+$C63))</f>
        <v/>
      </c>
      <c r="I63" s="131" t="str">
        <f ca="1">IF($B63="","",IF('Cash Flow of Project'!I63="","",NPV($C$4,OFFSET('Cash Flow of Project'!$D63,0,0,1,I$6))+$C63))</f>
        <v/>
      </c>
      <c r="J63" s="131" t="str">
        <f ca="1">IF($B63="","",IF('Cash Flow of Project'!J63="","",NPV($C$4,OFFSET('Cash Flow of Project'!$D63,0,0,1,J$6))+$C63))</f>
        <v/>
      </c>
      <c r="K63" s="131" t="str">
        <f ca="1">IF($B63="","",IF('Cash Flow of Project'!K63="","",NPV($C$4,OFFSET('Cash Flow of Project'!$D63,0,0,1,K$6))+$C63))</f>
        <v/>
      </c>
      <c r="L63" s="131" t="str">
        <f ca="1">IF($B63="","",IF('Cash Flow of Project'!L63="","",NPV($C$4,OFFSET('Cash Flow of Project'!$D63,0,0,1,L$6))+$C63))</f>
        <v/>
      </c>
      <c r="M63" s="131" t="str">
        <f ca="1">IF($B63="","",IF('Cash Flow of Project'!M63="","",NPV($C$4,OFFSET('Cash Flow of Project'!$D63,0,0,1,M$6))+$C63))</f>
        <v/>
      </c>
    </row>
    <row r="64" spans="2:13" x14ac:dyDescent="0.35">
      <c r="B64" s="125"/>
      <c r="C64" s="125"/>
      <c r="D64" s="131" t="str">
        <f ca="1">IF($B64="","",IF('Cash Flow of Project'!D64="","",NPV($C$4,OFFSET('Cash Flow of Project'!$D64,0,0,1,D$6))+$C64))</f>
        <v/>
      </c>
      <c r="E64" s="131" t="str">
        <f ca="1">IF($B64="","",IF('Cash Flow of Project'!E64="","",NPV($C$4,OFFSET('Cash Flow of Project'!$D64,0,0,1,E$6))+$C64))</f>
        <v/>
      </c>
      <c r="F64" s="131" t="str">
        <f ca="1">IF($B64="","",IF('Cash Flow of Project'!F64="","",NPV($C$4,OFFSET('Cash Flow of Project'!$D64,0,0,1,F$6))+$C64))</f>
        <v/>
      </c>
      <c r="G64" s="131" t="str">
        <f ca="1">IF($B64="","",IF('Cash Flow of Project'!G64="","",NPV($C$4,OFFSET('Cash Flow of Project'!$D64,0,0,1,G$6))+$C64))</f>
        <v/>
      </c>
      <c r="H64" s="131" t="str">
        <f ca="1">IF($B64="","",IF('Cash Flow of Project'!H64="","",NPV($C$4,OFFSET('Cash Flow of Project'!$D64,0,0,1,H$6))+$C64))</f>
        <v/>
      </c>
      <c r="I64" s="131" t="str">
        <f ca="1">IF($B64="","",IF('Cash Flow of Project'!I64="","",NPV($C$4,OFFSET('Cash Flow of Project'!$D64,0,0,1,I$6))+$C64))</f>
        <v/>
      </c>
      <c r="J64" s="131" t="str">
        <f ca="1">IF($B64="","",IF('Cash Flow of Project'!J64="","",NPV($C$4,OFFSET('Cash Flow of Project'!$D64,0,0,1,J$6))+$C64))</f>
        <v/>
      </c>
      <c r="K64" s="131" t="str">
        <f ca="1">IF($B64="","",IF('Cash Flow of Project'!K64="","",NPV($C$4,OFFSET('Cash Flow of Project'!$D64,0,0,1,K$6))+$C64))</f>
        <v/>
      </c>
      <c r="L64" s="131" t="str">
        <f ca="1">IF($B64="","",IF('Cash Flow of Project'!L64="","",NPV($C$4,OFFSET('Cash Flow of Project'!$D64,0,0,1,L$6))+$C64))</f>
        <v/>
      </c>
      <c r="M64" s="131" t="str">
        <f ca="1">IF($B64="","",IF('Cash Flow of Project'!M64="","",NPV($C$4,OFFSET('Cash Flow of Project'!$D64,0,0,1,M$6))+$C64))</f>
        <v/>
      </c>
    </row>
    <row r="65" spans="2:13" x14ac:dyDescent="0.35">
      <c r="B65" s="125"/>
      <c r="C65" s="125"/>
      <c r="D65" s="131" t="str">
        <f ca="1">IF($B65="","",IF('Cash Flow of Project'!D65="","",NPV($C$4,OFFSET('Cash Flow of Project'!$D65,0,0,1,D$6))+$C65))</f>
        <v/>
      </c>
      <c r="E65" s="131" t="str">
        <f ca="1">IF($B65="","",IF('Cash Flow of Project'!E65="","",NPV($C$4,OFFSET('Cash Flow of Project'!$D65,0,0,1,E$6))+$C65))</f>
        <v/>
      </c>
      <c r="F65" s="131" t="str">
        <f ca="1">IF($B65="","",IF('Cash Flow of Project'!F65="","",NPV($C$4,OFFSET('Cash Flow of Project'!$D65,0,0,1,F$6))+$C65))</f>
        <v/>
      </c>
      <c r="G65" s="131" t="str">
        <f ca="1">IF($B65="","",IF('Cash Flow of Project'!G65="","",NPV($C$4,OFFSET('Cash Flow of Project'!$D65,0,0,1,G$6))+$C65))</f>
        <v/>
      </c>
      <c r="H65" s="131" t="str">
        <f ca="1">IF($B65="","",IF('Cash Flow of Project'!H65="","",NPV($C$4,OFFSET('Cash Flow of Project'!$D65,0,0,1,H$6))+$C65))</f>
        <v/>
      </c>
      <c r="I65" s="131" t="str">
        <f ca="1">IF($B65="","",IF('Cash Flow of Project'!I65="","",NPV($C$4,OFFSET('Cash Flow of Project'!$D65,0,0,1,I$6))+$C65))</f>
        <v/>
      </c>
      <c r="J65" s="131" t="str">
        <f ca="1">IF($B65="","",IF('Cash Flow of Project'!J65="","",NPV($C$4,OFFSET('Cash Flow of Project'!$D65,0,0,1,J$6))+$C65))</f>
        <v/>
      </c>
      <c r="K65" s="131" t="str">
        <f ca="1">IF($B65="","",IF('Cash Flow of Project'!K65="","",NPV($C$4,OFFSET('Cash Flow of Project'!$D65,0,0,1,K$6))+$C65))</f>
        <v/>
      </c>
      <c r="L65" s="131" t="str">
        <f ca="1">IF($B65="","",IF('Cash Flow of Project'!L65="","",NPV($C$4,OFFSET('Cash Flow of Project'!$D65,0,0,1,L$6))+$C65))</f>
        <v/>
      </c>
      <c r="M65" s="131" t="str">
        <f ca="1">IF($B65="","",IF('Cash Flow of Project'!M65="","",NPV($C$4,OFFSET('Cash Flow of Project'!$D65,0,0,1,M$6))+$C65))</f>
        <v/>
      </c>
    </row>
    <row r="66" spans="2:13" x14ac:dyDescent="0.35">
      <c r="B66" s="125"/>
      <c r="C66" s="125"/>
      <c r="D66" s="131" t="str">
        <f ca="1">IF($B66="","",IF('Cash Flow of Project'!D66="","",NPV($C$4,OFFSET('Cash Flow of Project'!$D66,0,0,1,D$6))+$C66))</f>
        <v/>
      </c>
      <c r="E66" s="131" t="str">
        <f ca="1">IF($B66="","",IF('Cash Flow of Project'!E66="","",NPV($C$4,OFFSET('Cash Flow of Project'!$D66,0,0,1,E$6))+$C66))</f>
        <v/>
      </c>
      <c r="F66" s="131" t="str">
        <f ca="1">IF($B66="","",IF('Cash Flow of Project'!F66="","",NPV($C$4,OFFSET('Cash Flow of Project'!$D66,0,0,1,F$6))+$C66))</f>
        <v/>
      </c>
      <c r="G66" s="131" t="str">
        <f ca="1">IF($B66="","",IF('Cash Flow of Project'!G66="","",NPV($C$4,OFFSET('Cash Flow of Project'!$D66,0,0,1,G$6))+$C66))</f>
        <v/>
      </c>
      <c r="H66" s="131" t="str">
        <f ca="1">IF($B66="","",IF('Cash Flow of Project'!H66="","",NPV($C$4,OFFSET('Cash Flow of Project'!$D66,0,0,1,H$6))+$C66))</f>
        <v/>
      </c>
      <c r="I66" s="131" t="str">
        <f ca="1">IF($B66="","",IF('Cash Flow of Project'!I66="","",NPV($C$4,OFFSET('Cash Flow of Project'!$D66,0,0,1,I$6))+$C66))</f>
        <v/>
      </c>
      <c r="J66" s="131" t="str">
        <f ca="1">IF($B66="","",IF('Cash Flow of Project'!J66="","",NPV($C$4,OFFSET('Cash Flow of Project'!$D66,0,0,1,J$6))+$C66))</f>
        <v/>
      </c>
      <c r="K66" s="131" t="str">
        <f ca="1">IF($B66="","",IF('Cash Flow of Project'!K66="","",NPV($C$4,OFFSET('Cash Flow of Project'!$D66,0,0,1,K$6))+$C66))</f>
        <v/>
      </c>
      <c r="L66" s="131" t="str">
        <f ca="1">IF($B66="","",IF('Cash Flow of Project'!L66="","",NPV($C$4,OFFSET('Cash Flow of Project'!$D66,0,0,1,L$6))+$C66))</f>
        <v/>
      </c>
      <c r="M66" s="131" t="str">
        <f ca="1">IF($B66="","",IF('Cash Flow of Project'!M66="","",NPV($C$4,OFFSET('Cash Flow of Project'!$D66,0,0,1,M$6))+$C66))</f>
        <v/>
      </c>
    </row>
    <row r="67" spans="2:13" x14ac:dyDescent="0.35">
      <c r="B67" s="125"/>
      <c r="C67" s="125"/>
      <c r="D67" s="131" t="str">
        <f ca="1">IF($B67="","",IF('Cash Flow of Project'!D67="","",NPV($C$4,OFFSET('Cash Flow of Project'!$D67,0,0,1,D$6))+$C67))</f>
        <v/>
      </c>
      <c r="E67" s="131" t="str">
        <f ca="1">IF($B67="","",IF('Cash Flow of Project'!E67="","",NPV($C$4,OFFSET('Cash Flow of Project'!$D67,0,0,1,E$6))+$C67))</f>
        <v/>
      </c>
      <c r="F67" s="131" t="str">
        <f ca="1">IF($B67="","",IF('Cash Flow of Project'!F67="","",NPV($C$4,OFFSET('Cash Flow of Project'!$D67,0,0,1,F$6))+$C67))</f>
        <v/>
      </c>
      <c r="G67" s="131" t="str">
        <f ca="1">IF($B67="","",IF('Cash Flow of Project'!G67="","",NPV($C$4,OFFSET('Cash Flow of Project'!$D67,0,0,1,G$6))+$C67))</f>
        <v/>
      </c>
      <c r="H67" s="131" t="str">
        <f ca="1">IF($B67="","",IF('Cash Flow of Project'!H67="","",NPV($C$4,OFFSET('Cash Flow of Project'!$D67,0,0,1,H$6))+$C67))</f>
        <v/>
      </c>
      <c r="I67" s="131" t="str">
        <f ca="1">IF($B67="","",IF('Cash Flow of Project'!I67="","",NPV($C$4,OFFSET('Cash Flow of Project'!$D67,0,0,1,I$6))+$C67))</f>
        <v/>
      </c>
      <c r="J67" s="131" t="str">
        <f ca="1">IF($B67="","",IF('Cash Flow of Project'!J67="","",NPV($C$4,OFFSET('Cash Flow of Project'!$D67,0,0,1,J$6))+$C67))</f>
        <v/>
      </c>
      <c r="K67" s="131" t="str">
        <f ca="1">IF($B67="","",IF('Cash Flow of Project'!K67="","",NPV($C$4,OFFSET('Cash Flow of Project'!$D67,0,0,1,K$6))+$C67))</f>
        <v/>
      </c>
      <c r="L67" s="131" t="str">
        <f ca="1">IF($B67="","",IF('Cash Flow of Project'!L67="","",NPV($C$4,OFFSET('Cash Flow of Project'!$D67,0,0,1,L$6))+$C67))</f>
        <v/>
      </c>
      <c r="M67" s="131" t="str">
        <f ca="1">IF($B67="","",IF('Cash Flow of Project'!M67="","",NPV($C$4,OFFSET('Cash Flow of Project'!$D67,0,0,1,M$6))+$C67))</f>
        <v/>
      </c>
    </row>
    <row r="68" spans="2:13" x14ac:dyDescent="0.35">
      <c r="B68" s="125"/>
      <c r="C68" s="125"/>
      <c r="D68" s="131" t="str">
        <f ca="1">IF($B68="","",IF('Cash Flow of Project'!D68="","",NPV($C$4,OFFSET('Cash Flow of Project'!$D68,0,0,1,D$6))+$C68))</f>
        <v/>
      </c>
      <c r="E68" s="131" t="str">
        <f ca="1">IF($B68="","",IF('Cash Flow of Project'!E68="","",NPV($C$4,OFFSET('Cash Flow of Project'!$D68,0,0,1,E$6))+$C68))</f>
        <v/>
      </c>
      <c r="F68" s="131" t="str">
        <f ca="1">IF($B68="","",IF('Cash Flow of Project'!F68="","",NPV($C$4,OFFSET('Cash Flow of Project'!$D68,0,0,1,F$6))+$C68))</f>
        <v/>
      </c>
      <c r="G68" s="131" t="str">
        <f ca="1">IF($B68="","",IF('Cash Flow of Project'!G68="","",NPV($C$4,OFFSET('Cash Flow of Project'!$D68,0,0,1,G$6))+$C68))</f>
        <v/>
      </c>
      <c r="H68" s="131" t="str">
        <f ca="1">IF($B68="","",IF('Cash Flow of Project'!H68="","",NPV($C$4,OFFSET('Cash Flow of Project'!$D68,0,0,1,H$6))+$C68))</f>
        <v/>
      </c>
      <c r="I68" s="131" t="str">
        <f ca="1">IF($B68="","",IF('Cash Flow of Project'!I68="","",NPV($C$4,OFFSET('Cash Flow of Project'!$D68,0,0,1,I$6))+$C68))</f>
        <v/>
      </c>
      <c r="J68" s="131" t="str">
        <f ca="1">IF($B68="","",IF('Cash Flow of Project'!J68="","",NPV($C$4,OFFSET('Cash Flow of Project'!$D68,0,0,1,J$6))+$C68))</f>
        <v/>
      </c>
      <c r="K68" s="131" t="str">
        <f ca="1">IF($B68="","",IF('Cash Flow of Project'!K68="","",NPV($C$4,OFFSET('Cash Flow of Project'!$D68,0,0,1,K$6))+$C68))</f>
        <v/>
      </c>
      <c r="L68" s="131" t="str">
        <f ca="1">IF($B68="","",IF('Cash Flow of Project'!L68="","",NPV($C$4,OFFSET('Cash Flow of Project'!$D68,0,0,1,L$6))+$C68))</f>
        <v/>
      </c>
      <c r="M68" s="131" t="str">
        <f ca="1">IF($B68="","",IF('Cash Flow of Project'!M68="","",NPV($C$4,OFFSET('Cash Flow of Project'!$D68,0,0,1,M$6))+$C68))</f>
        <v/>
      </c>
    </row>
    <row r="69" spans="2:13" x14ac:dyDescent="0.35">
      <c r="B69" s="125"/>
      <c r="C69" s="125"/>
      <c r="D69" s="131" t="str">
        <f ca="1">IF($B69="","",IF('Cash Flow of Project'!D69="","",NPV($C$4,OFFSET('Cash Flow of Project'!$D69,0,0,1,D$6))+$C69))</f>
        <v/>
      </c>
      <c r="E69" s="131" t="str">
        <f ca="1">IF($B69="","",IF('Cash Flow of Project'!E69="","",NPV($C$4,OFFSET('Cash Flow of Project'!$D69,0,0,1,E$6))+$C69))</f>
        <v/>
      </c>
      <c r="F69" s="131" t="str">
        <f ca="1">IF($B69="","",IF('Cash Flow of Project'!F69="","",NPV($C$4,OFFSET('Cash Flow of Project'!$D69,0,0,1,F$6))+$C69))</f>
        <v/>
      </c>
      <c r="G69" s="131" t="str">
        <f ca="1">IF($B69="","",IF('Cash Flow of Project'!G69="","",NPV($C$4,OFFSET('Cash Flow of Project'!$D69,0,0,1,G$6))+$C69))</f>
        <v/>
      </c>
      <c r="H69" s="131" t="str">
        <f ca="1">IF($B69="","",IF('Cash Flow of Project'!H69="","",NPV($C$4,OFFSET('Cash Flow of Project'!$D69,0,0,1,H$6))+$C69))</f>
        <v/>
      </c>
      <c r="I69" s="131" t="str">
        <f ca="1">IF($B69="","",IF('Cash Flow of Project'!I69="","",NPV($C$4,OFFSET('Cash Flow of Project'!$D69,0,0,1,I$6))+$C69))</f>
        <v/>
      </c>
      <c r="J69" s="131" t="str">
        <f ca="1">IF($B69="","",IF('Cash Flow of Project'!J69="","",NPV($C$4,OFFSET('Cash Flow of Project'!$D69,0,0,1,J$6))+$C69))</f>
        <v/>
      </c>
      <c r="K69" s="131" t="str">
        <f ca="1">IF($B69="","",IF('Cash Flow of Project'!K69="","",NPV($C$4,OFFSET('Cash Flow of Project'!$D69,0,0,1,K$6))+$C69))</f>
        <v/>
      </c>
      <c r="L69" s="131" t="str">
        <f ca="1">IF($B69="","",IF('Cash Flow of Project'!L69="","",NPV($C$4,OFFSET('Cash Flow of Project'!$D69,0,0,1,L$6))+$C69))</f>
        <v/>
      </c>
      <c r="M69" s="131" t="str">
        <f ca="1">IF($B69="","",IF('Cash Flow of Project'!M69="","",NPV($C$4,OFFSET('Cash Flow of Project'!$D69,0,0,1,M$6))+$C69))</f>
        <v/>
      </c>
    </row>
    <row r="70" spans="2:13" x14ac:dyDescent="0.35">
      <c r="B70" s="125"/>
      <c r="C70" s="125"/>
      <c r="D70" s="131" t="str">
        <f ca="1">IF($B70="","",IF('Cash Flow of Project'!D70="","",NPV($C$4,OFFSET('Cash Flow of Project'!$D70,0,0,1,D$6))+$C70))</f>
        <v/>
      </c>
      <c r="E70" s="131" t="str">
        <f ca="1">IF($B70="","",IF('Cash Flow of Project'!E70="","",NPV($C$4,OFFSET('Cash Flow of Project'!$D70,0,0,1,E$6))+$C70))</f>
        <v/>
      </c>
      <c r="F70" s="131" t="str">
        <f ca="1">IF($B70="","",IF('Cash Flow of Project'!F70="","",NPV($C$4,OFFSET('Cash Flow of Project'!$D70,0,0,1,F$6))+$C70))</f>
        <v/>
      </c>
      <c r="G70" s="131" t="str">
        <f ca="1">IF($B70="","",IF('Cash Flow of Project'!G70="","",NPV($C$4,OFFSET('Cash Flow of Project'!$D70,0,0,1,G$6))+$C70))</f>
        <v/>
      </c>
      <c r="H70" s="131" t="str">
        <f ca="1">IF($B70="","",IF('Cash Flow of Project'!H70="","",NPV($C$4,OFFSET('Cash Flow of Project'!$D70,0,0,1,H$6))+$C70))</f>
        <v/>
      </c>
      <c r="I70" s="131" t="str">
        <f ca="1">IF($B70="","",IF('Cash Flow of Project'!I70="","",NPV($C$4,OFFSET('Cash Flow of Project'!$D70,0,0,1,I$6))+$C70))</f>
        <v/>
      </c>
      <c r="J70" s="131" t="str">
        <f ca="1">IF($B70="","",IF('Cash Flow of Project'!J70="","",NPV($C$4,OFFSET('Cash Flow of Project'!$D70,0,0,1,J$6))+$C70))</f>
        <v/>
      </c>
      <c r="K70" s="131" t="str">
        <f ca="1">IF($B70="","",IF('Cash Flow of Project'!K70="","",NPV($C$4,OFFSET('Cash Flow of Project'!$D70,0,0,1,K$6))+$C70))</f>
        <v/>
      </c>
      <c r="L70" s="131" t="str">
        <f ca="1">IF($B70="","",IF('Cash Flow of Project'!L70="","",NPV($C$4,OFFSET('Cash Flow of Project'!$D70,0,0,1,L$6))+$C70))</f>
        <v/>
      </c>
      <c r="M70" s="131" t="str">
        <f ca="1">IF($B70="","",IF('Cash Flow of Project'!M70="","",NPV($C$4,OFFSET('Cash Flow of Project'!$D70,0,0,1,M$6))+$C70))</f>
        <v/>
      </c>
    </row>
    <row r="71" spans="2:13" x14ac:dyDescent="0.35">
      <c r="B71" s="125"/>
      <c r="C71" s="125"/>
      <c r="D71" s="131" t="str">
        <f ca="1">IF($B71="","",IF('Cash Flow of Project'!D71="","",NPV($C$4,OFFSET('Cash Flow of Project'!$D71,0,0,1,D$6))+$C71))</f>
        <v/>
      </c>
      <c r="E71" s="131" t="str">
        <f ca="1">IF($B71="","",IF('Cash Flow of Project'!E71="","",NPV($C$4,OFFSET('Cash Flow of Project'!$D71,0,0,1,E$6))+$C71))</f>
        <v/>
      </c>
      <c r="F71" s="131" t="str">
        <f ca="1">IF($B71="","",IF('Cash Flow of Project'!F71="","",NPV($C$4,OFFSET('Cash Flow of Project'!$D71,0,0,1,F$6))+$C71))</f>
        <v/>
      </c>
      <c r="G71" s="131" t="str">
        <f ca="1">IF($B71="","",IF('Cash Flow of Project'!G71="","",NPV($C$4,OFFSET('Cash Flow of Project'!$D71,0,0,1,G$6))+$C71))</f>
        <v/>
      </c>
      <c r="H71" s="131" t="str">
        <f ca="1">IF($B71="","",IF('Cash Flow of Project'!H71="","",NPV($C$4,OFFSET('Cash Flow of Project'!$D71,0,0,1,H$6))+$C71))</f>
        <v/>
      </c>
      <c r="I71" s="131" t="str">
        <f ca="1">IF($B71="","",IF('Cash Flow of Project'!I71="","",NPV($C$4,OFFSET('Cash Flow of Project'!$D71,0,0,1,I$6))+$C71))</f>
        <v/>
      </c>
      <c r="J71" s="131" t="str">
        <f ca="1">IF($B71="","",IF('Cash Flow of Project'!J71="","",NPV($C$4,OFFSET('Cash Flow of Project'!$D71,0,0,1,J$6))+$C71))</f>
        <v/>
      </c>
      <c r="K71" s="131" t="str">
        <f ca="1">IF($B71="","",IF('Cash Flow of Project'!K71="","",NPV($C$4,OFFSET('Cash Flow of Project'!$D71,0,0,1,K$6))+$C71))</f>
        <v/>
      </c>
      <c r="L71" s="131" t="str">
        <f ca="1">IF($B71="","",IF('Cash Flow of Project'!L71="","",NPV($C$4,OFFSET('Cash Flow of Project'!$D71,0,0,1,L$6))+$C71))</f>
        <v/>
      </c>
      <c r="M71" s="131" t="str">
        <f ca="1">IF($B71="","",IF('Cash Flow of Project'!M71="","",NPV($C$4,OFFSET('Cash Flow of Project'!$D71,0,0,1,M$6))+$C71))</f>
        <v/>
      </c>
    </row>
    <row r="72" spans="2:13" x14ac:dyDescent="0.35">
      <c r="B72" s="125"/>
      <c r="C72" s="125"/>
      <c r="D72" s="131" t="str">
        <f ca="1">IF($B72="","",IF('Cash Flow of Project'!D72="","",NPV($C$4,OFFSET('Cash Flow of Project'!$D72,0,0,1,D$6))+$C72))</f>
        <v/>
      </c>
      <c r="E72" s="131" t="str">
        <f ca="1">IF($B72="","",IF('Cash Flow of Project'!E72="","",NPV($C$4,OFFSET('Cash Flow of Project'!$D72,0,0,1,E$6))+$C72))</f>
        <v/>
      </c>
      <c r="F72" s="131" t="str">
        <f ca="1">IF($B72="","",IF('Cash Flow of Project'!F72="","",NPV($C$4,OFFSET('Cash Flow of Project'!$D72,0,0,1,F$6))+$C72))</f>
        <v/>
      </c>
      <c r="G72" s="131" t="str">
        <f ca="1">IF($B72="","",IF('Cash Flow of Project'!G72="","",NPV($C$4,OFFSET('Cash Flow of Project'!$D72,0,0,1,G$6))+$C72))</f>
        <v/>
      </c>
      <c r="H72" s="131" t="str">
        <f ca="1">IF($B72="","",IF('Cash Flow of Project'!H72="","",NPV($C$4,OFFSET('Cash Flow of Project'!$D72,0,0,1,H$6))+$C72))</f>
        <v/>
      </c>
      <c r="I72" s="131" t="str">
        <f ca="1">IF($B72="","",IF('Cash Flow of Project'!I72="","",NPV($C$4,OFFSET('Cash Flow of Project'!$D72,0,0,1,I$6))+$C72))</f>
        <v/>
      </c>
      <c r="J72" s="131" t="str">
        <f ca="1">IF($B72="","",IF('Cash Flow of Project'!J72="","",NPV($C$4,OFFSET('Cash Flow of Project'!$D72,0,0,1,J$6))+$C72))</f>
        <v/>
      </c>
      <c r="K72" s="131" t="str">
        <f ca="1">IF($B72="","",IF('Cash Flow of Project'!K72="","",NPV($C$4,OFFSET('Cash Flow of Project'!$D72,0,0,1,K$6))+$C72))</f>
        <v/>
      </c>
      <c r="L72" s="131" t="str">
        <f ca="1">IF($B72="","",IF('Cash Flow of Project'!L72="","",NPV($C$4,OFFSET('Cash Flow of Project'!$D72,0,0,1,L$6))+$C72))</f>
        <v/>
      </c>
      <c r="M72" s="131" t="str">
        <f ca="1">IF($B72="","",IF('Cash Flow of Project'!M72="","",NPV($C$4,OFFSET('Cash Flow of Project'!$D72,0,0,1,M$6))+$C72))</f>
        <v/>
      </c>
    </row>
    <row r="73" spans="2:13" x14ac:dyDescent="0.35">
      <c r="B73" s="125"/>
      <c r="C73" s="125"/>
      <c r="D73" s="131" t="str">
        <f ca="1">IF($B73="","",IF('Cash Flow of Project'!D73="","",NPV($C$4,OFFSET('Cash Flow of Project'!$D73,0,0,1,D$6))+$C73))</f>
        <v/>
      </c>
      <c r="E73" s="131" t="str">
        <f ca="1">IF($B73="","",IF('Cash Flow of Project'!E73="","",NPV($C$4,OFFSET('Cash Flow of Project'!$D73,0,0,1,E$6))+$C73))</f>
        <v/>
      </c>
      <c r="F73" s="131" t="str">
        <f ca="1">IF($B73="","",IF('Cash Flow of Project'!F73="","",NPV($C$4,OFFSET('Cash Flow of Project'!$D73,0,0,1,F$6))+$C73))</f>
        <v/>
      </c>
      <c r="G73" s="131" t="str">
        <f ca="1">IF($B73="","",IF('Cash Flow of Project'!G73="","",NPV($C$4,OFFSET('Cash Flow of Project'!$D73,0,0,1,G$6))+$C73))</f>
        <v/>
      </c>
      <c r="H73" s="131" t="str">
        <f ca="1">IF($B73="","",IF('Cash Flow of Project'!H73="","",NPV($C$4,OFFSET('Cash Flow of Project'!$D73,0,0,1,H$6))+$C73))</f>
        <v/>
      </c>
      <c r="I73" s="131" t="str">
        <f ca="1">IF($B73="","",IF('Cash Flow of Project'!I73="","",NPV($C$4,OFFSET('Cash Flow of Project'!$D73,0,0,1,I$6))+$C73))</f>
        <v/>
      </c>
      <c r="J73" s="131" t="str">
        <f ca="1">IF($B73="","",IF('Cash Flow of Project'!J73="","",NPV($C$4,OFFSET('Cash Flow of Project'!$D73,0,0,1,J$6))+$C73))</f>
        <v/>
      </c>
      <c r="K73" s="131" t="str">
        <f ca="1">IF($B73="","",IF('Cash Flow of Project'!K73="","",NPV($C$4,OFFSET('Cash Flow of Project'!$D73,0,0,1,K$6))+$C73))</f>
        <v/>
      </c>
      <c r="L73" s="131" t="str">
        <f ca="1">IF($B73="","",IF('Cash Flow of Project'!L73="","",NPV($C$4,OFFSET('Cash Flow of Project'!$D73,0,0,1,L$6))+$C73))</f>
        <v/>
      </c>
      <c r="M73" s="131" t="str">
        <f ca="1">IF($B73="","",IF('Cash Flow of Project'!M73="","",NPV($C$4,OFFSET('Cash Flow of Project'!$D73,0,0,1,M$6))+$C73))</f>
        <v/>
      </c>
    </row>
    <row r="74" spans="2:13" x14ac:dyDescent="0.35">
      <c r="B74" s="125"/>
      <c r="C74" s="125"/>
      <c r="D74" s="131" t="str">
        <f ca="1">IF($B74="","",IF('Cash Flow of Project'!D74="","",NPV($C$4,OFFSET('Cash Flow of Project'!$D74,0,0,1,D$6))+$C74))</f>
        <v/>
      </c>
      <c r="E74" s="131" t="str">
        <f ca="1">IF($B74="","",IF('Cash Flow of Project'!E74="","",NPV($C$4,OFFSET('Cash Flow of Project'!$D74,0,0,1,E$6))+$C74))</f>
        <v/>
      </c>
      <c r="F74" s="131" t="str">
        <f ca="1">IF($B74="","",IF('Cash Flow of Project'!F74="","",NPV($C$4,OFFSET('Cash Flow of Project'!$D74,0,0,1,F$6))+$C74))</f>
        <v/>
      </c>
      <c r="G74" s="131" t="str">
        <f ca="1">IF($B74="","",IF('Cash Flow of Project'!G74="","",NPV($C$4,OFFSET('Cash Flow of Project'!$D74,0,0,1,G$6))+$C74))</f>
        <v/>
      </c>
      <c r="H74" s="131" t="str">
        <f ca="1">IF($B74="","",IF('Cash Flow of Project'!H74="","",NPV($C$4,OFFSET('Cash Flow of Project'!$D74,0,0,1,H$6))+$C74))</f>
        <v/>
      </c>
      <c r="I74" s="131" t="str">
        <f ca="1">IF($B74="","",IF('Cash Flow of Project'!I74="","",NPV($C$4,OFFSET('Cash Flow of Project'!$D74,0,0,1,I$6))+$C74))</f>
        <v/>
      </c>
      <c r="J74" s="131" t="str">
        <f ca="1">IF($B74="","",IF('Cash Flow of Project'!J74="","",NPV($C$4,OFFSET('Cash Flow of Project'!$D74,0,0,1,J$6))+$C74))</f>
        <v/>
      </c>
      <c r="K74" s="131" t="str">
        <f ca="1">IF($B74="","",IF('Cash Flow of Project'!K74="","",NPV($C$4,OFFSET('Cash Flow of Project'!$D74,0,0,1,K$6))+$C74))</f>
        <v/>
      </c>
      <c r="L74" s="131" t="str">
        <f ca="1">IF($B74="","",IF('Cash Flow of Project'!L74="","",NPV($C$4,OFFSET('Cash Flow of Project'!$D74,0,0,1,L$6))+$C74))</f>
        <v/>
      </c>
      <c r="M74" s="131" t="str">
        <f ca="1">IF($B74="","",IF('Cash Flow of Project'!M74="","",NPV($C$4,OFFSET('Cash Flow of Project'!$D74,0,0,1,M$6))+$C74))</f>
        <v/>
      </c>
    </row>
    <row r="75" spans="2:13" x14ac:dyDescent="0.35">
      <c r="B75" s="125"/>
      <c r="C75" s="125"/>
      <c r="D75" s="131" t="str">
        <f ca="1">IF($B75="","",IF('Cash Flow of Project'!D75="","",NPV($C$4,OFFSET('Cash Flow of Project'!$D75,0,0,1,D$6))+$C75))</f>
        <v/>
      </c>
      <c r="E75" s="131" t="str">
        <f ca="1">IF($B75="","",IF('Cash Flow of Project'!E75="","",NPV($C$4,OFFSET('Cash Flow of Project'!$D75,0,0,1,E$6))+$C75))</f>
        <v/>
      </c>
      <c r="F75" s="131" t="str">
        <f ca="1">IF($B75="","",IF('Cash Flow of Project'!F75="","",NPV($C$4,OFFSET('Cash Flow of Project'!$D75,0,0,1,F$6))+$C75))</f>
        <v/>
      </c>
      <c r="G75" s="131" t="str">
        <f ca="1">IF($B75="","",IF('Cash Flow of Project'!G75="","",NPV($C$4,OFFSET('Cash Flow of Project'!$D75,0,0,1,G$6))+$C75))</f>
        <v/>
      </c>
      <c r="H75" s="131" t="str">
        <f ca="1">IF($B75="","",IF('Cash Flow of Project'!H75="","",NPV($C$4,OFFSET('Cash Flow of Project'!$D75,0,0,1,H$6))+$C75))</f>
        <v/>
      </c>
      <c r="I75" s="131" t="str">
        <f ca="1">IF($B75="","",IF('Cash Flow of Project'!I75="","",NPV($C$4,OFFSET('Cash Flow of Project'!$D75,0,0,1,I$6))+$C75))</f>
        <v/>
      </c>
      <c r="J75" s="131" t="str">
        <f ca="1">IF($B75="","",IF('Cash Flow of Project'!J75="","",NPV($C$4,OFFSET('Cash Flow of Project'!$D75,0,0,1,J$6))+$C75))</f>
        <v/>
      </c>
      <c r="K75" s="131" t="str">
        <f ca="1">IF($B75="","",IF('Cash Flow of Project'!K75="","",NPV($C$4,OFFSET('Cash Flow of Project'!$D75,0,0,1,K$6))+$C75))</f>
        <v/>
      </c>
      <c r="L75" s="131" t="str">
        <f ca="1">IF($B75="","",IF('Cash Flow of Project'!L75="","",NPV($C$4,OFFSET('Cash Flow of Project'!$D75,0,0,1,L$6))+$C75))</f>
        <v/>
      </c>
      <c r="M75" s="131" t="str">
        <f ca="1">IF($B75="","",IF('Cash Flow of Project'!M75="","",NPV($C$4,OFFSET('Cash Flow of Project'!$D75,0,0,1,M$6))+$C75))</f>
        <v/>
      </c>
    </row>
    <row r="76" spans="2:13" x14ac:dyDescent="0.35">
      <c r="B76" s="125"/>
      <c r="C76" s="125"/>
      <c r="D76" s="131" t="str">
        <f ca="1">IF($B76="","",IF('Cash Flow of Project'!D76="","",NPV($C$4,OFFSET('Cash Flow of Project'!$D76,0,0,1,D$6))+$C76))</f>
        <v/>
      </c>
      <c r="E76" s="131" t="str">
        <f ca="1">IF($B76="","",IF('Cash Flow of Project'!E76="","",NPV($C$4,OFFSET('Cash Flow of Project'!$D76,0,0,1,E$6))+$C76))</f>
        <v/>
      </c>
      <c r="F76" s="131" t="str">
        <f ca="1">IF($B76="","",IF('Cash Flow of Project'!F76="","",NPV($C$4,OFFSET('Cash Flow of Project'!$D76,0,0,1,F$6))+$C76))</f>
        <v/>
      </c>
      <c r="G76" s="131" t="str">
        <f ca="1">IF($B76="","",IF('Cash Flow of Project'!G76="","",NPV($C$4,OFFSET('Cash Flow of Project'!$D76,0,0,1,G$6))+$C76))</f>
        <v/>
      </c>
      <c r="H76" s="131" t="str">
        <f ca="1">IF($B76="","",IF('Cash Flow of Project'!H76="","",NPV($C$4,OFFSET('Cash Flow of Project'!$D76,0,0,1,H$6))+$C76))</f>
        <v/>
      </c>
      <c r="I76" s="131" t="str">
        <f ca="1">IF($B76="","",IF('Cash Flow of Project'!I76="","",NPV($C$4,OFFSET('Cash Flow of Project'!$D76,0,0,1,I$6))+$C76))</f>
        <v/>
      </c>
      <c r="J76" s="131" t="str">
        <f ca="1">IF($B76="","",IF('Cash Flow of Project'!J76="","",NPV($C$4,OFFSET('Cash Flow of Project'!$D76,0,0,1,J$6))+$C76))</f>
        <v/>
      </c>
      <c r="K76" s="131" t="str">
        <f ca="1">IF($B76="","",IF('Cash Flow of Project'!K76="","",NPV($C$4,OFFSET('Cash Flow of Project'!$D76,0,0,1,K$6))+$C76))</f>
        <v/>
      </c>
      <c r="L76" s="131" t="str">
        <f ca="1">IF($B76="","",IF('Cash Flow of Project'!L76="","",NPV($C$4,OFFSET('Cash Flow of Project'!$D76,0,0,1,L$6))+$C76))</f>
        <v/>
      </c>
      <c r="M76" s="131" t="str">
        <f ca="1">IF($B76="","",IF('Cash Flow of Project'!M76="","",NPV($C$4,OFFSET('Cash Flow of Project'!$D76,0,0,1,M$6))+$C76))</f>
        <v/>
      </c>
    </row>
    <row r="77" spans="2:13" x14ac:dyDescent="0.35">
      <c r="B77" s="125"/>
      <c r="C77" s="125"/>
      <c r="D77" s="131" t="str">
        <f ca="1">IF($B77="","",IF('Cash Flow of Project'!D77="","",NPV($C$4,OFFSET('Cash Flow of Project'!$D77,0,0,1,D$6))+$C77))</f>
        <v/>
      </c>
      <c r="E77" s="131" t="str">
        <f ca="1">IF($B77="","",IF('Cash Flow of Project'!E77="","",NPV($C$4,OFFSET('Cash Flow of Project'!$D77,0,0,1,E$6))+$C77))</f>
        <v/>
      </c>
      <c r="F77" s="131" t="str">
        <f ca="1">IF($B77="","",IF('Cash Flow of Project'!F77="","",NPV($C$4,OFFSET('Cash Flow of Project'!$D77,0,0,1,F$6))+$C77))</f>
        <v/>
      </c>
      <c r="G77" s="131" t="str">
        <f ca="1">IF($B77="","",IF('Cash Flow of Project'!G77="","",NPV($C$4,OFFSET('Cash Flow of Project'!$D77,0,0,1,G$6))+$C77))</f>
        <v/>
      </c>
      <c r="H77" s="131" t="str">
        <f ca="1">IF($B77="","",IF('Cash Flow of Project'!H77="","",NPV($C$4,OFFSET('Cash Flow of Project'!$D77,0,0,1,H$6))+$C77))</f>
        <v/>
      </c>
      <c r="I77" s="131" t="str">
        <f ca="1">IF($B77="","",IF('Cash Flow of Project'!I77="","",NPV($C$4,OFFSET('Cash Flow of Project'!$D77,0,0,1,I$6))+$C77))</f>
        <v/>
      </c>
      <c r="J77" s="131" t="str">
        <f ca="1">IF($B77="","",IF('Cash Flow of Project'!J77="","",NPV($C$4,OFFSET('Cash Flow of Project'!$D77,0,0,1,J$6))+$C77))</f>
        <v/>
      </c>
      <c r="K77" s="131" t="str">
        <f ca="1">IF($B77="","",IF('Cash Flow of Project'!K77="","",NPV($C$4,OFFSET('Cash Flow of Project'!$D77,0,0,1,K$6))+$C77))</f>
        <v/>
      </c>
      <c r="L77" s="131" t="str">
        <f ca="1">IF($B77="","",IF('Cash Flow of Project'!L77="","",NPV($C$4,OFFSET('Cash Flow of Project'!$D77,0,0,1,L$6))+$C77))</f>
        <v/>
      </c>
      <c r="M77" s="131" t="str">
        <f ca="1">IF($B77="","",IF('Cash Flow of Project'!M77="","",NPV($C$4,OFFSET('Cash Flow of Project'!$D77,0,0,1,M$6))+$C77))</f>
        <v/>
      </c>
    </row>
    <row r="78" spans="2:13" x14ac:dyDescent="0.35">
      <c r="B78" s="125"/>
      <c r="C78" s="125"/>
      <c r="D78" s="131" t="str">
        <f ca="1">IF($B78="","",IF('Cash Flow of Project'!D78="","",NPV($C$4,OFFSET('Cash Flow of Project'!$D78,0,0,1,D$6))+$C78))</f>
        <v/>
      </c>
      <c r="E78" s="131" t="str">
        <f ca="1">IF($B78="","",IF('Cash Flow of Project'!E78="","",NPV($C$4,OFFSET('Cash Flow of Project'!$D78,0,0,1,E$6))+$C78))</f>
        <v/>
      </c>
      <c r="F78" s="131" t="str">
        <f ca="1">IF($B78="","",IF('Cash Flow of Project'!F78="","",NPV($C$4,OFFSET('Cash Flow of Project'!$D78,0,0,1,F$6))+$C78))</f>
        <v/>
      </c>
      <c r="G78" s="131" t="str">
        <f ca="1">IF($B78="","",IF('Cash Flow of Project'!G78="","",NPV($C$4,OFFSET('Cash Flow of Project'!$D78,0,0,1,G$6))+$C78))</f>
        <v/>
      </c>
      <c r="H78" s="131" t="str">
        <f ca="1">IF($B78="","",IF('Cash Flow of Project'!H78="","",NPV($C$4,OFFSET('Cash Flow of Project'!$D78,0,0,1,H$6))+$C78))</f>
        <v/>
      </c>
      <c r="I78" s="131" t="str">
        <f ca="1">IF($B78="","",IF('Cash Flow of Project'!I78="","",NPV($C$4,OFFSET('Cash Flow of Project'!$D78,0,0,1,I$6))+$C78))</f>
        <v/>
      </c>
      <c r="J78" s="131" t="str">
        <f ca="1">IF($B78="","",IF('Cash Flow of Project'!J78="","",NPV($C$4,OFFSET('Cash Flow of Project'!$D78,0,0,1,J$6))+$C78))</f>
        <v/>
      </c>
      <c r="K78" s="131" t="str">
        <f ca="1">IF($B78="","",IF('Cash Flow of Project'!K78="","",NPV($C$4,OFFSET('Cash Flow of Project'!$D78,0,0,1,K$6))+$C78))</f>
        <v/>
      </c>
      <c r="L78" s="131" t="str">
        <f ca="1">IF($B78="","",IF('Cash Flow of Project'!L78="","",NPV($C$4,OFFSET('Cash Flow of Project'!$D78,0,0,1,L$6))+$C78))</f>
        <v/>
      </c>
      <c r="M78" s="131" t="str">
        <f ca="1">IF($B78="","",IF('Cash Flow of Project'!M78="","",NPV($C$4,OFFSET('Cash Flow of Project'!$D78,0,0,1,M$6))+$C78))</f>
        <v/>
      </c>
    </row>
    <row r="79" spans="2:13" x14ac:dyDescent="0.35">
      <c r="B79" s="125"/>
      <c r="C79" s="125"/>
      <c r="D79" s="131" t="str">
        <f ca="1">IF($B79="","",IF('Cash Flow of Project'!D79="","",NPV($C$4,OFFSET('Cash Flow of Project'!$D79,0,0,1,D$6))+$C79))</f>
        <v/>
      </c>
      <c r="E79" s="131" t="str">
        <f ca="1">IF($B79="","",IF('Cash Flow of Project'!E79="","",NPV($C$4,OFFSET('Cash Flow of Project'!$D79,0,0,1,E$6))+$C79))</f>
        <v/>
      </c>
      <c r="F79" s="131" t="str">
        <f ca="1">IF($B79="","",IF('Cash Flow of Project'!F79="","",NPV($C$4,OFFSET('Cash Flow of Project'!$D79,0,0,1,F$6))+$C79))</f>
        <v/>
      </c>
      <c r="G79" s="131" t="str">
        <f ca="1">IF($B79="","",IF('Cash Flow of Project'!G79="","",NPV($C$4,OFFSET('Cash Flow of Project'!$D79,0,0,1,G$6))+$C79))</f>
        <v/>
      </c>
      <c r="H79" s="131" t="str">
        <f ca="1">IF($B79="","",IF('Cash Flow of Project'!H79="","",NPV($C$4,OFFSET('Cash Flow of Project'!$D79,0,0,1,H$6))+$C79))</f>
        <v/>
      </c>
      <c r="I79" s="131" t="str">
        <f ca="1">IF($B79="","",IF('Cash Flow of Project'!I79="","",NPV($C$4,OFFSET('Cash Flow of Project'!$D79,0,0,1,I$6))+$C79))</f>
        <v/>
      </c>
      <c r="J79" s="131" t="str">
        <f ca="1">IF($B79="","",IF('Cash Flow of Project'!J79="","",NPV($C$4,OFFSET('Cash Flow of Project'!$D79,0,0,1,J$6))+$C79))</f>
        <v/>
      </c>
      <c r="K79" s="131" t="str">
        <f ca="1">IF($B79="","",IF('Cash Flow of Project'!K79="","",NPV($C$4,OFFSET('Cash Flow of Project'!$D79,0,0,1,K$6))+$C79))</f>
        <v/>
      </c>
      <c r="L79" s="131" t="str">
        <f ca="1">IF($B79="","",IF('Cash Flow of Project'!L79="","",NPV($C$4,OFFSET('Cash Flow of Project'!$D79,0,0,1,L$6))+$C79))</f>
        <v/>
      </c>
      <c r="M79" s="131" t="str">
        <f ca="1">IF($B79="","",IF('Cash Flow of Project'!M79="","",NPV($C$4,OFFSET('Cash Flow of Project'!$D79,0,0,1,M$6))+$C79))</f>
        <v/>
      </c>
    </row>
    <row r="80" spans="2:13" x14ac:dyDescent="0.35">
      <c r="B80" s="125"/>
      <c r="C80" s="125"/>
      <c r="D80" s="131" t="str">
        <f ca="1">IF($B80="","",IF('Cash Flow of Project'!D80="","",NPV($C$4,OFFSET('Cash Flow of Project'!$D80,0,0,1,D$6))+$C80))</f>
        <v/>
      </c>
      <c r="E80" s="131" t="str">
        <f ca="1">IF($B80="","",IF('Cash Flow of Project'!E80="","",NPV($C$4,OFFSET('Cash Flow of Project'!$D80,0,0,1,E$6))+$C80))</f>
        <v/>
      </c>
      <c r="F80" s="131" t="str">
        <f ca="1">IF($B80="","",IF('Cash Flow of Project'!F80="","",NPV($C$4,OFFSET('Cash Flow of Project'!$D80,0,0,1,F$6))+$C80))</f>
        <v/>
      </c>
      <c r="G80" s="131" t="str">
        <f ca="1">IF($B80="","",IF('Cash Flow of Project'!G80="","",NPV($C$4,OFFSET('Cash Flow of Project'!$D80,0,0,1,G$6))+$C80))</f>
        <v/>
      </c>
      <c r="H80" s="131" t="str">
        <f ca="1">IF($B80="","",IF('Cash Flow of Project'!H80="","",NPV($C$4,OFFSET('Cash Flow of Project'!$D80,0,0,1,H$6))+$C80))</f>
        <v/>
      </c>
      <c r="I80" s="131" t="str">
        <f ca="1">IF($B80="","",IF('Cash Flow of Project'!I80="","",NPV($C$4,OFFSET('Cash Flow of Project'!$D80,0,0,1,I$6))+$C80))</f>
        <v/>
      </c>
      <c r="J80" s="131" t="str">
        <f ca="1">IF($B80="","",IF('Cash Flow of Project'!J80="","",NPV($C$4,OFFSET('Cash Flow of Project'!$D80,0,0,1,J$6))+$C80))</f>
        <v/>
      </c>
      <c r="K80" s="131" t="str">
        <f ca="1">IF($B80="","",IF('Cash Flow of Project'!K80="","",NPV($C$4,OFFSET('Cash Flow of Project'!$D80,0,0,1,K$6))+$C80))</f>
        <v/>
      </c>
      <c r="L80" s="131" t="str">
        <f ca="1">IF($B80="","",IF('Cash Flow of Project'!L80="","",NPV($C$4,OFFSET('Cash Flow of Project'!$D80,0,0,1,L$6))+$C80))</f>
        <v/>
      </c>
      <c r="M80" s="131" t="str">
        <f ca="1">IF($B80="","",IF('Cash Flow of Project'!M80="","",NPV($C$4,OFFSET('Cash Flow of Project'!$D80,0,0,1,M$6))+$C80))</f>
        <v/>
      </c>
    </row>
    <row r="81" spans="2:13" x14ac:dyDescent="0.35">
      <c r="B81" s="125"/>
      <c r="C81" s="125"/>
      <c r="D81" s="131" t="str">
        <f ca="1">IF($B81="","",IF('Cash Flow of Project'!D81="","",NPV($C$4,OFFSET('Cash Flow of Project'!$D81,0,0,1,D$6))+$C81))</f>
        <v/>
      </c>
      <c r="E81" s="131" t="str">
        <f ca="1">IF($B81="","",IF('Cash Flow of Project'!E81="","",NPV($C$4,OFFSET('Cash Flow of Project'!$D81,0,0,1,E$6))+$C81))</f>
        <v/>
      </c>
      <c r="F81" s="131" t="str">
        <f ca="1">IF($B81="","",IF('Cash Flow of Project'!F81="","",NPV($C$4,OFFSET('Cash Flow of Project'!$D81,0,0,1,F$6))+$C81))</f>
        <v/>
      </c>
      <c r="G81" s="131" t="str">
        <f ca="1">IF($B81="","",IF('Cash Flow of Project'!G81="","",NPV($C$4,OFFSET('Cash Flow of Project'!$D81,0,0,1,G$6))+$C81))</f>
        <v/>
      </c>
      <c r="H81" s="131" t="str">
        <f ca="1">IF($B81="","",IF('Cash Flow of Project'!H81="","",NPV($C$4,OFFSET('Cash Flow of Project'!$D81,0,0,1,H$6))+$C81))</f>
        <v/>
      </c>
      <c r="I81" s="131" t="str">
        <f ca="1">IF($B81="","",IF('Cash Flow of Project'!I81="","",NPV($C$4,OFFSET('Cash Flow of Project'!$D81,0,0,1,I$6))+$C81))</f>
        <v/>
      </c>
      <c r="J81" s="131" t="str">
        <f ca="1">IF($B81="","",IF('Cash Flow of Project'!J81="","",NPV($C$4,OFFSET('Cash Flow of Project'!$D81,0,0,1,J$6))+$C81))</f>
        <v/>
      </c>
      <c r="K81" s="131" t="str">
        <f ca="1">IF($B81="","",IF('Cash Flow of Project'!K81="","",NPV($C$4,OFFSET('Cash Flow of Project'!$D81,0,0,1,K$6))+$C81))</f>
        <v/>
      </c>
      <c r="L81" s="131" t="str">
        <f ca="1">IF($B81="","",IF('Cash Flow of Project'!L81="","",NPV($C$4,OFFSET('Cash Flow of Project'!$D81,0,0,1,L$6))+$C81))</f>
        <v/>
      </c>
      <c r="M81" s="131" t="str">
        <f ca="1">IF($B81="","",IF('Cash Flow of Project'!M81="","",NPV($C$4,OFFSET('Cash Flow of Project'!$D81,0,0,1,M$6))+$C81))</f>
        <v/>
      </c>
    </row>
    <row r="82" spans="2:13" x14ac:dyDescent="0.35">
      <c r="B82" s="125"/>
      <c r="C82" s="125"/>
      <c r="D82" s="131" t="str">
        <f ca="1">IF($B82="","",IF('Cash Flow of Project'!D82="","",NPV($C$4,OFFSET('Cash Flow of Project'!$D82,0,0,1,D$6))+$C82))</f>
        <v/>
      </c>
      <c r="E82" s="131" t="str">
        <f ca="1">IF($B82="","",IF('Cash Flow of Project'!E82="","",NPV($C$4,OFFSET('Cash Flow of Project'!$D82,0,0,1,E$6))+$C82))</f>
        <v/>
      </c>
      <c r="F82" s="131" t="str">
        <f ca="1">IF($B82="","",IF('Cash Flow of Project'!F82="","",NPV($C$4,OFFSET('Cash Flow of Project'!$D82,0,0,1,F$6))+$C82))</f>
        <v/>
      </c>
      <c r="G82" s="131" t="str">
        <f ca="1">IF($B82="","",IF('Cash Flow of Project'!G82="","",NPV($C$4,OFFSET('Cash Flow of Project'!$D82,0,0,1,G$6))+$C82))</f>
        <v/>
      </c>
      <c r="H82" s="131" t="str">
        <f ca="1">IF($B82="","",IF('Cash Flow of Project'!H82="","",NPV($C$4,OFFSET('Cash Flow of Project'!$D82,0,0,1,H$6))+$C82))</f>
        <v/>
      </c>
      <c r="I82" s="131" t="str">
        <f ca="1">IF($B82="","",IF('Cash Flow of Project'!I82="","",NPV($C$4,OFFSET('Cash Flow of Project'!$D82,0,0,1,I$6))+$C82))</f>
        <v/>
      </c>
      <c r="J82" s="131" t="str">
        <f ca="1">IF($B82="","",IF('Cash Flow of Project'!J82="","",NPV($C$4,OFFSET('Cash Flow of Project'!$D82,0,0,1,J$6))+$C82))</f>
        <v/>
      </c>
      <c r="K82" s="131" t="str">
        <f ca="1">IF($B82="","",IF('Cash Flow of Project'!K82="","",NPV($C$4,OFFSET('Cash Flow of Project'!$D82,0,0,1,K$6))+$C82))</f>
        <v/>
      </c>
      <c r="L82" s="131" t="str">
        <f ca="1">IF($B82="","",IF('Cash Flow of Project'!L82="","",NPV($C$4,OFFSET('Cash Flow of Project'!$D82,0,0,1,L$6))+$C82))</f>
        <v/>
      </c>
      <c r="M82" s="131" t="str">
        <f ca="1">IF($B82="","",IF('Cash Flow of Project'!M82="","",NPV($C$4,OFFSET('Cash Flow of Project'!$D82,0,0,1,M$6))+$C82))</f>
        <v/>
      </c>
    </row>
    <row r="83" spans="2:13" x14ac:dyDescent="0.35">
      <c r="B83" s="125"/>
      <c r="C83" s="125"/>
      <c r="D83" s="131" t="str">
        <f ca="1">IF($B83="","",IF('Cash Flow of Project'!D83="","",NPV($C$4,OFFSET('Cash Flow of Project'!$D83,0,0,1,D$6))+$C83))</f>
        <v/>
      </c>
      <c r="E83" s="131" t="str">
        <f ca="1">IF($B83="","",IF('Cash Flow of Project'!E83="","",NPV($C$4,OFFSET('Cash Flow of Project'!$D83,0,0,1,E$6))+$C83))</f>
        <v/>
      </c>
      <c r="F83" s="131" t="str">
        <f ca="1">IF($B83="","",IF('Cash Flow of Project'!F83="","",NPV($C$4,OFFSET('Cash Flow of Project'!$D83,0,0,1,F$6))+$C83))</f>
        <v/>
      </c>
      <c r="G83" s="131" t="str">
        <f ca="1">IF($B83="","",IF('Cash Flow of Project'!G83="","",NPV($C$4,OFFSET('Cash Flow of Project'!$D83,0,0,1,G$6))+$C83))</f>
        <v/>
      </c>
      <c r="H83" s="131" t="str">
        <f ca="1">IF($B83="","",IF('Cash Flow of Project'!H83="","",NPV($C$4,OFFSET('Cash Flow of Project'!$D83,0,0,1,H$6))+$C83))</f>
        <v/>
      </c>
      <c r="I83" s="131" t="str">
        <f ca="1">IF($B83="","",IF('Cash Flow of Project'!I83="","",NPV($C$4,OFFSET('Cash Flow of Project'!$D83,0,0,1,I$6))+$C83))</f>
        <v/>
      </c>
      <c r="J83" s="131" t="str">
        <f ca="1">IF($B83="","",IF('Cash Flow of Project'!J83="","",NPV($C$4,OFFSET('Cash Flow of Project'!$D83,0,0,1,J$6))+$C83))</f>
        <v/>
      </c>
      <c r="K83" s="131" t="str">
        <f ca="1">IF($B83="","",IF('Cash Flow of Project'!K83="","",NPV($C$4,OFFSET('Cash Flow of Project'!$D83,0,0,1,K$6))+$C83))</f>
        <v/>
      </c>
      <c r="L83" s="131" t="str">
        <f ca="1">IF($B83="","",IF('Cash Flow of Project'!L83="","",NPV($C$4,OFFSET('Cash Flow of Project'!$D83,0,0,1,L$6))+$C83))</f>
        <v/>
      </c>
      <c r="M83" s="131" t="str">
        <f ca="1">IF($B83="","",IF('Cash Flow of Project'!M83="","",NPV($C$4,OFFSET('Cash Flow of Project'!$D83,0,0,1,M$6))+$C83))</f>
        <v/>
      </c>
    </row>
    <row r="84" spans="2:13" x14ac:dyDescent="0.35">
      <c r="B84" s="125"/>
      <c r="C84" s="125"/>
      <c r="D84" s="131" t="str">
        <f ca="1">IF($B84="","",IF('Cash Flow of Project'!D84="","",NPV($C$4,OFFSET('Cash Flow of Project'!$D84,0,0,1,D$6))+$C84))</f>
        <v/>
      </c>
      <c r="E84" s="131" t="str">
        <f ca="1">IF($B84="","",IF('Cash Flow of Project'!E84="","",NPV($C$4,OFFSET('Cash Flow of Project'!$D84,0,0,1,E$6))+$C84))</f>
        <v/>
      </c>
      <c r="F84" s="131" t="str">
        <f ca="1">IF($B84="","",IF('Cash Flow of Project'!F84="","",NPV($C$4,OFFSET('Cash Flow of Project'!$D84,0,0,1,F$6))+$C84))</f>
        <v/>
      </c>
      <c r="G84" s="131" t="str">
        <f ca="1">IF($B84="","",IF('Cash Flow of Project'!G84="","",NPV($C$4,OFFSET('Cash Flow of Project'!$D84,0,0,1,G$6))+$C84))</f>
        <v/>
      </c>
      <c r="H84" s="131" t="str">
        <f ca="1">IF($B84="","",IF('Cash Flow of Project'!H84="","",NPV($C$4,OFFSET('Cash Flow of Project'!$D84,0,0,1,H$6))+$C84))</f>
        <v/>
      </c>
      <c r="I84" s="131" t="str">
        <f ca="1">IF($B84="","",IF('Cash Flow of Project'!I84="","",NPV($C$4,OFFSET('Cash Flow of Project'!$D84,0,0,1,I$6))+$C84))</f>
        <v/>
      </c>
      <c r="J84" s="131" t="str">
        <f ca="1">IF($B84="","",IF('Cash Flow of Project'!J84="","",NPV($C$4,OFFSET('Cash Flow of Project'!$D84,0,0,1,J$6))+$C84))</f>
        <v/>
      </c>
      <c r="K84" s="131" t="str">
        <f ca="1">IF($B84="","",IF('Cash Flow of Project'!K84="","",NPV($C$4,OFFSET('Cash Flow of Project'!$D84,0,0,1,K$6))+$C84))</f>
        <v/>
      </c>
      <c r="L84" s="131" t="str">
        <f ca="1">IF($B84="","",IF('Cash Flow of Project'!L84="","",NPV($C$4,OFFSET('Cash Flow of Project'!$D84,0,0,1,L$6))+$C84))</f>
        <v/>
      </c>
      <c r="M84" s="131" t="str">
        <f ca="1">IF($B84="","",IF('Cash Flow of Project'!M84="","",NPV($C$4,OFFSET('Cash Flow of Project'!$D84,0,0,1,M$6))+$C84))</f>
        <v/>
      </c>
    </row>
    <row r="85" spans="2:13" x14ac:dyDescent="0.35">
      <c r="B85" s="125"/>
      <c r="C85" s="125"/>
      <c r="D85" s="131" t="str">
        <f ca="1">IF($B85="","",IF('Cash Flow of Project'!D85="","",NPV($C$4,OFFSET('Cash Flow of Project'!$D85,0,0,1,D$6))+$C85))</f>
        <v/>
      </c>
      <c r="E85" s="131" t="str">
        <f ca="1">IF($B85="","",IF('Cash Flow of Project'!E85="","",NPV($C$4,OFFSET('Cash Flow of Project'!$D85,0,0,1,E$6))+$C85))</f>
        <v/>
      </c>
      <c r="F85" s="131" t="str">
        <f ca="1">IF($B85="","",IF('Cash Flow of Project'!F85="","",NPV($C$4,OFFSET('Cash Flow of Project'!$D85,0,0,1,F$6))+$C85))</f>
        <v/>
      </c>
      <c r="G85" s="131" t="str">
        <f ca="1">IF($B85="","",IF('Cash Flow of Project'!G85="","",NPV($C$4,OFFSET('Cash Flow of Project'!$D85,0,0,1,G$6))+$C85))</f>
        <v/>
      </c>
      <c r="H85" s="131" t="str">
        <f ca="1">IF($B85="","",IF('Cash Flow of Project'!H85="","",NPV($C$4,OFFSET('Cash Flow of Project'!$D85,0,0,1,H$6))+$C85))</f>
        <v/>
      </c>
      <c r="I85" s="131" t="str">
        <f ca="1">IF($B85="","",IF('Cash Flow of Project'!I85="","",NPV($C$4,OFFSET('Cash Flow of Project'!$D85,0,0,1,I$6))+$C85))</f>
        <v/>
      </c>
      <c r="J85" s="131" t="str">
        <f ca="1">IF($B85="","",IF('Cash Flow of Project'!J85="","",NPV($C$4,OFFSET('Cash Flow of Project'!$D85,0,0,1,J$6))+$C85))</f>
        <v/>
      </c>
      <c r="K85" s="131" t="str">
        <f ca="1">IF($B85="","",IF('Cash Flow of Project'!K85="","",NPV($C$4,OFFSET('Cash Flow of Project'!$D85,0,0,1,K$6))+$C85))</f>
        <v/>
      </c>
      <c r="L85" s="131" t="str">
        <f ca="1">IF($B85="","",IF('Cash Flow of Project'!L85="","",NPV($C$4,OFFSET('Cash Flow of Project'!$D85,0,0,1,L$6))+$C85))</f>
        <v/>
      </c>
      <c r="M85" s="131" t="str">
        <f ca="1">IF($B85="","",IF('Cash Flow of Project'!M85="","",NPV($C$4,OFFSET('Cash Flow of Project'!$D85,0,0,1,M$6))+$C85))</f>
        <v/>
      </c>
    </row>
    <row r="86" spans="2:13" x14ac:dyDescent="0.35">
      <c r="B86" s="125"/>
      <c r="C86" s="125"/>
      <c r="D86" s="131" t="str">
        <f ca="1">IF($B86="","",IF('Cash Flow of Project'!D86="","",NPV($C$4,OFFSET('Cash Flow of Project'!$D86,0,0,1,D$6))+$C86))</f>
        <v/>
      </c>
      <c r="E86" s="131" t="str">
        <f ca="1">IF($B86="","",IF('Cash Flow of Project'!E86="","",NPV($C$4,OFFSET('Cash Flow of Project'!$D86,0,0,1,E$6))+$C86))</f>
        <v/>
      </c>
      <c r="F86" s="131" t="str">
        <f ca="1">IF($B86="","",IF('Cash Flow of Project'!F86="","",NPV($C$4,OFFSET('Cash Flow of Project'!$D86,0,0,1,F$6))+$C86))</f>
        <v/>
      </c>
      <c r="G86" s="131" t="str">
        <f ca="1">IF($B86="","",IF('Cash Flow of Project'!G86="","",NPV($C$4,OFFSET('Cash Flow of Project'!$D86,0,0,1,G$6))+$C86))</f>
        <v/>
      </c>
      <c r="H86" s="131" t="str">
        <f ca="1">IF($B86="","",IF('Cash Flow of Project'!H86="","",NPV($C$4,OFFSET('Cash Flow of Project'!$D86,0,0,1,H$6))+$C86))</f>
        <v/>
      </c>
      <c r="I86" s="131" t="str">
        <f ca="1">IF($B86="","",IF('Cash Flow of Project'!I86="","",NPV($C$4,OFFSET('Cash Flow of Project'!$D86,0,0,1,I$6))+$C86))</f>
        <v/>
      </c>
      <c r="J86" s="131" t="str">
        <f ca="1">IF($B86="","",IF('Cash Flow of Project'!J86="","",NPV($C$4,OFFSET('Cash Flow of Project'!$D86,0,0,1,J$6))+$C86))</f>
        <v/>
      </c>
      <c r="K86" s="131" t="str">
        <f ca="1">IF($B86="","",IF('Cash Flow of Project'!K86="","",NPV($C$4,OFFSET('Cash Flow of Project'!$D86,0,0,1,K$6))+$C86))</f>
        <v/>
      </c>
      <c r="L86" s="131" t="str">
        <f ca="1">IF($B86="","",IF('Cash Flow of Project'!L86="","",NPV($C$4,OFFSET('Cash Flow of Project'!$D86,0,0,1,L$6))+$C86))</f>
        <v/>
      </c>
      <c r="M86" s="131" t="str">
        <f ca="1">IF($B86="","",IF('Cash Flow of Project'!M86="","",NPV($C$4,OFFSET('Cash Flow of Project'!$D86,0,0,1,M$6))+$C86))</f>
        <v/>
      </c>
    </row>
    <row r="87" spans="2:13" x14ac:dyDescent="0.35">
      <c r="B87" s="125"/>
      <c r="C87" s="125"/>
      <c r="D87" s="131" t="str">
        <f ca="1">IF($B87="","",IF('Cash Flow of Project'!D87="","",NPV($C$4,OFFSET('Cash Flow of Project'!$D87,0,0,1,D$6))+$C87))</f>
        <v/>
      </c>
      <c r="E87" s="131" t="str">
        <f ca="1">IF($B87="","",IF('Cash Flow of Project'!E87="","",NPV($C$4,OFFSET('Cash Flow of Project'!$D87,0,0,1,E$6))+$C87))</f>
        <v/>
      </c>
      <c r="F87" s="131" t="str">
        <f ca="1">IF($B87="","",IF('Cash Flow of Project'!F87="","",NPV($C$4,OFFSET('Cash Flow of Project'!$D87,0,0,1,F$6))+$C87))</f>
        <v/>
      </c>
      <c r="G87" s="131" t="str">
        <f ca="1">IF($B87="","",IF('Cash Flow of Project'!G87="","",NPV($C$4,OFFSET('Cash Flow of Project'!$D87,0,0,1,G$6))+$C87))</f>
        <v/>
      </c>
      <c r="H87" s="131" t="str">
        <f ca="1">IF($B87="","",IF('Cash Flow of Project'!H87="","",NPV($C$4,OFFSET('Cash Flow of Project'!$D87,0,0,1,H$6))+$C87))</f>
        <v/>
      </c>
      <c r="I87" s="131" t="str">
        <f ca="1">IF($B87="","",IF('Cash Flow of Project'!I87="","",NPV($C$4,OFFSET('Cash Flow of Project'!$D87,0,0,1,I$6))+$C87))</f>
        <v/>
      </c>
      <c r="J87" s="131" t="str">
        <f ca="1">IF($B87="","",IF('Cash Flow of Project'!J87="","",NPV($C$4,OFFSET('Cash Flow of Project'!$D87,0,0,1,J$6))+$C87))</f>
        <v/>
      </c>
      <c r="K87" s="131" t="str">
        <f ca="1">IF($B87="","",IF('Cash Flow of Project'!K87="","",NPV($C$4,OFFSET('Cash Flow of Project'!$D87,0,0,1,K$6))+$C87))</f>
        <v/>
      </c>
      <c r="L87" s="131" t="str">
        <f ca="1">IF($B87="","",IF('Cash Flow of Project'!L87="","",NPV($C$4,OFFSET('Cash Flow of Project'!$D87,0,0,1,L$6))+$C87))</f>
        <v/>
      </c>
      <c r="M87" s="131" t="str">
        <f ca="1">IF($B87="","",IF('Cash Flow of Project'!M87="","",NPV($C$4,OFFSET('Cash Flow of Project'!$D87,0,0,1,M$6))+$C87))</f>
        <v/>
      </c>
    </row>
    <row r="88" spans="2:13" x14ac:dyDescent="0.35">
      <c r="B88" s="125"/>
      <c r="C88" s="125"/>
      <c r="D88" s="131" t="str">
        <f ca="1">IF($B88="","",IF('Cash Flow of Project'!D88="","",NPV($C$4,OFFSET('Cash Flow of Project'!$D88,0,0,1,D$6))+$C88))</f>
        <v/>
      </c>
      <c r="E88" s="131" t="str">
        <f ca="1">IF($B88="","",IF('Cash Flow of Project'!E88="","",NPV($C$4,OFFSET('Cash Flow of Project'!$D88,0,0,1,E$6))+$C88))</f>
        <v/>
      </c>
      <c r="F88" s="131" t="str">
        <f ca="1">IF($B88="","",IF('Cash Flow of Project'!F88="","",NPV($C$4,OFFSET('Cash Flow of Project'!$D88,0,0,1,F$6))+$C88))</f>
        <v/>
      </c>
      <c r="G88" s="131" t="str">
        <f ca="1">IF($B88="","",IF('Cash Flow of Project'!G88="","",NPV($C$4,OFFSET('Cash Flow of Project'!$D88,0,0,1,G$6))+$C88))</f>
        <v/>
      </c>
      <c r="H88" s="131" t="str">
        <f ca="1">IF($B88="","",IF('Cash Flow of Project'!H88="","",NPV($C$4,OFFSET('Cash Flow of Project'!$D88,0,0,1,H$6))+$C88))</f>
        <v/>
      </c>
      <c r="I88" s="131" t="str">
        <f ca="1">IF($B88="","",IF('Cash Flow of Project'!I88="","",NPV($C$4,OFFSET('Cash Flow of Project'!$D88,0,0,1,I$6))+$C88))</f>
        <v/>
      </c>
      <c r="J88" s="131" t="str">
        <f ca="1">IF($B88="","",IF('Cash Flow of Project'!J88="","",NPV($C$4,OFFSET('Cash Flow of Project'!$D88,0,0,1,J$6))+$C88))</f>
        <v/>
      </c>
      <c r="K88" s="131" t="str">
        <f ca="1">IF($B88="","",IF('Cash Flow of Project'!K88="","",NPV($C$4,OFFSET('Cash Flow of Project'!$D88,0,0,1,K$6))+$C88))</f>
        <v/>
      </c>
      <c r="L88" s="131" t="str">
        <f ca="1">IF($B88="","",IF('Cash Flow of Project'!L88="","",NPV($C$4,OFFSET('Cash Flow of Project'!$D88,0,0,1,L$6))+$C88))</f>
        <v/>
      </c>
      <c r="M88" s="131" t="str">
        <f ca="1">IF($B88="","",IF('Cash Flow of Project'!M88="","",NPV($C$4,OFFSET('Cash Flow of Project'!$D88,0,0,1,M$6))+$C88))</f>
        <v/>
      </c>
    </row>
    <row r="89" spans="2:13" x14ac:dyDescent="0.35">
      <c r="B89" s="125"/>
      <c r="C89" s="125"/>
      <c r="D89" s="131" t="str">
        <f ca="1">IF($B89="","",IF('Cash Flow of Project'!D89="","",NPV($C$4,OFFSET('Cash Flow of Project'!$D89,0,0,1,D$6))+$C89))</f>
        <v/>
      </c>
      <c r="E89" s="131" t="str">
        <f ca="1">IF($B89="","",IF('Cash Flow of Project'!E89="","",NPV($C$4,OFFSET('Cash Flow of Project'!$D89,0,0,1,E$6))+$C89))</f>
        <v/>
      </c>
      <c r="F89" s="131" t="str">
        <f ca="1">IF($B89="","",IF('Cash Flow of Project'!F89="","",NPV($C$4,OFFSET('Cash Flow of Project'!$D89,0,0,1,F$6))+$C89))</f>
        <v/>
      </c>
      <c r="G89" s="131" t="str">
        <f ca="1">IF($B89="","",IF('Cash Flow of Project'!G89="","",NPV($C$4,OFFSET('Cash Flow of Project'!$D89,0,0,1,G$6))+$C89))</f>
        <v/>
      </c>
      <c r="H89" s="131" t="str">
        <f ca="1">IF($B89="","",IF('Cash Flow of Project'!H89="","",NPV($C$4,OFFSET('Cash Flow of Project'!$D89,0,0,1,H$6))+$C89))</f>
        <v/>
      </c>
      <c r="I89" s="131" t="str">
        <f ca="1">IF($B89="","",IF('Cash Flow of Project'!I89="","",NPV($C$4,OFFSET('Cash Flow of Project'!$D89,0,0,1,I$6))+$C89))</f>
        <v/>
      </c>
      <c r="J89" s="131" t="str">
        <f ca="1">IF($B89="","",IF('Cash Flow of Project'!J89="","",NPV($C$4,OFFSET('Cash Flow of Project'!$D89,0,0,1,J$6))+$C89))</f>
        <v/>
      </c>
      <c r="K89" s="131" t="str">
        <f ca="1">IF($B89="","",IF('Cash Flow of Project'!K89="","",NPV($C$4,OFFSET('Cash Flow of Project'!$D89,0,0,1,K$6))+$C89))</f>
        <v/>
      </c>
      <c r="L89" s="131" t="str">
        <f ca="1">IF($B89="","",IF('Cash Flow of Project'!L89="","",NPV($C$4,OFFSET('Cash Flow of Project'!$D89,0,0,1,L$6))+$C89))</f>
        <v/>
      </c>
      <c r="M89" s="131" t="str">
        <f ca="1">IF($B89="","",IF('Cash Flow of Project'!M89="","",NPV($C$4,OFFSET('Cash Flow of Project'!$D89,0,0,1,M$6))+$C89))</f>
        <v/>
      </c>
    </row>
    <row r="90" spans="2:13" x14ac:dyDescent="0.35">
      <c r="B90" s="125"/>
      <c r="C90" s="125"/>
      <c r="D90" s="131" t="str">
        <f ca="1">IF($B90="","",IF('Cash Flow of Project'!D90="","",NPV($C$4,OFFSET('Cash Flow of Project'!$D90,0,0,1,D$6))+$C90))</f>
        <v/>
      </c>
      <c r="E90" s="131" t="str">
        <f ca="1">IF($B90="","",IF('Cash Flow of Project'!E90="","",NPV($C$4,OFFSET('Cash Flow of Project'!$D90,0,0,1,E$6))+$C90))</f>
        <v/>
      </c>
      <c r="F90" s="131" t="str">
        <f ca="1">IF($B90="","",IF('Cash Flow of Project'!F90="","",NPV($C$4,OFFSET('Cash Flow of Project'!$D90,0,0,1,F$6))+$C90))</f>
        <v/>
      </c>
      <c r="G90" s="131" t="str">
        <f ca="1">IF($B90="","",IF('Cash Flow of Project'!G90="","",NPV($C$4,OFFSET('Cash Flow of Project'!$D90,0,0,1,G$6))+$C90))</f>
        <v/>
      </c>
      <c r="H90" s="131" t="str">
        <f ca="1">IF($B90="","",IF('Cash Flow of Project'!H90="","",NPV($C$4,OFFSET('Cash Flow of Project'!$D90,0,0,1,H$6))+$C90))</f>
        <v/>
      </c>
      <c r="I90" s="131" t="str">
        <f ca="1">IF($B90="","",IF('Cash Flow of Project'!I90="","",NPV($C$4,OFFSET('Cash Flow of Project'!$D90,0,0,1,I$6))+$C90))</f>
        <v/>
      </c>
      <c r="J90" s="131" t="str">
        <f ca="1">IF($B90="","",IF('Cash Flow of Project'!J90="","",NPV($C$4,OFFSET('Cash Flow of Project'!$D90,0,0,1,J$6))+$C90))</f>
        <v/>
      </c>
      <c r="K90" s="131" t="str">
        <f ca="1">IF($B90="","",IF('Cash Flow of Project'!K90="","",NPV($C$4,OFFSET('Cash Flow of Project'!$D90,0,0,1,K$6))+$C90))</f>
        <v/>
      </c>
      <c r="L90" s="131" t="str">
        <f ca="1">IF($B90="","",IF('Cash Flow of Project'!L90="","",NPV($C$4,OFFSET('Cash Flow of Project'!$D90,0,0,1,L$6))+$C90))</f>
        <v/>
      </c>
      <c r="M90" s="131" t="str">
        <f ca="1">IF($B90="","",IF('Cash Flow of Project'!M90="","",NPV($C$4,OFFSET('Cash Flow of Project'!$D90,0,0,1,M$6))+$C90))</f>
        <v/>
      </c>
    </row>
    <row r="91" spans="2:13" x14ac:dyDescent="0.35">
      <c r="B91" s="125"/>
      <c r="C91" s="125"/>
      <c r="D91" s="131" t="str">
        <f ca="1">IF($B91="","",IF('Cash Flow of Project'!D91="","",NPV($C$4,OFFSET('Cash Flow of Project'!$D91,0,0,1,D$6))+$C91))</f>
        <v/>
      </c>
      <c r="E91" s="131" t="str">
        <f ca="1">IF($B91="","",IF('Cash Flow of Project'!E91="","",NPV($C$4,OFFSET('Cash Flow of Project'!$D91,0,0,1,E$6))+$C91))</f>
        <v/>
      </c>
      <c r="F91" s="131" t="str">
        <f ca="1">IF($B91="","",IF('Cash Flow of Project'!F91="","",NPV($C$4,OFFSET('Cash Flow of Project'!$D91,0,0,1,F$6))+$C91))</f>
        <v/>
      </c>
      <c r="G91" s="131" t="str">
        <f ca="1">IF($B91="","",IF('Cash Flow of Project'!G91="","",NPV($C$4,OFFSET('Cash Flow of Project'!$D91,0,0,1,G$6))+$C91))</f>
        <v/>
      </c>
      <c r="H91" s="131" t="str">
        <f ca="1">IF($B91="","",IF('Cash Flow of Project'!H91="","",NPV($C$4,OFFSET('Cash Flow of Project'!$D91,0,0,1,H$6))+$C91))</f>
        <v/>
      </c>
      <c r="I91" s="131" t="str">
        <f ca="1">IF($B91="","",IF('Cash Flow of Project'!I91="","",NPV($C$4,OFFSET('Cash Flow of Project'!$D91,0,0,1,I$6))+$C91))</f>
        <v/>
      </c>
      <c r="J91" s="131" t="str">
        <f ca="1">IF($B91="","",IF('Cash Flow of Project'!J91="","",NPV($C$4,OFFSET('Cash Flow of Project'!$D91,0,0,1,J$6))+$C91))</f>
        <v/>
      </c>
      <c r="K91" s="131" t="str">
        <f ca="1">IF($B91="","",IF('Cash Flow of Project'!K91="","",NPV($C$4,OFFSET('Cash Flow of Project'!$D91,0,0,1,K$6))+$C91))</f>
        <v/>
      </c>
      <c r="L91" s="131" t="str">
        <f ca="1">IF($B91="","",IF('Cash Flow of Project'!L91="","",NPV($C$4,OFFSET('Cash Flow of Project'!$D91,0,0,1,L$6))+$C91))</f>
        <v/>
      </c>
      <c r="M91" s="131" t="str">
        <f ca="1">IF($B91="","",IF('Cash Flow of Project'!M91="","",NPV($C$4,OFFSET('Cash Flow of Project'!$D91,0,0,1,M$6))+$C91))</f>
        <v/>
      </c>
    </row>
    <row r="92" spans="2:13" x14ac:dyDescent="0.35">
      <c r="B92" s="125"/>
      <c r="C92" s="125"/>
      <c r="D92" s="131" t="str">
        <f ca="1">IF($B92="","",IF('Cash Flow of Project'!D92="","",NPV($C$4,OFFSET('Cash Flow of Project'!$D92,0,0,1,D$6))+$C92))</f>
        <v/>
      </c>
      <c r="E92" s="131" t="str">
        <f ca="1">IF($B92="","",IF('Cash Flow of Project'!E92="","",NPV($C$4,OFFSET('Cash Flow of Project'!$D92,0,0,1,E$6))+$C92))</f>
        <v/>
      </c>
      <c r="F92" s="131" t="str">
        <f ca="1">IF($B92="","",IF('Cash Flow of Project'!F92="","",NPV($C$4,OFFSET('Cash Flow of Project'!$D92,0,0,1,F$6))+$C92))</f>
        <v/>
      </c>
      <c r="G92" s="131" t="str">
        <f ca="1">IF($B92="","",IF('Cash Flow of Project'!G92="","",NPV($C$4,OFFSET('Cash Flow of Project'!$D92,0,0,1,G$6))+$C92))</f>
        <v/>
      </c>
      <c r="H92" s="131" t="str">
        <f ca="1">IF($B92="","",IF('Cash Flow of Project'!H92="","",NPV($C$4,OFFSET('Cash Flow of Project'!$D92,0,0,1,H$6))+$C92))</f>
        <v/>
      </c>
      <c r="I92" s="131" t="str">
        <f ca="1">IF($B92="","",IF('Cash Flow of Project'!I92="","",NPV($C$4,OFFSET('Cash Flow of Project'!$D92,0,0,1,I$6))+$C92))</f>
        <v/>
      </c>
      <c r="J92" s="131" t="str">
        <f ca="1">IF($B92="","",IF('Cash Flow of Project'!J92="","",NPV($C$4,OFFSET('Cash Flow of Project'!$D92,0,0,1,J$6))+$C92))</f>
        <v/>
      </c>
      <c r="K92" s="131" t="str">
        <f ca="1">IF($B92="","",IF('Cash Flow of Project'!K92="","",NPV($C$4,OFFSET('Cash Flow of Project'!$D92,0,0,1,K$6))+$C92))</f>
        <v/>
      </c>
      <c r="L92" s="131" t="str">
        <f ca="1">IF($B92="","",IF('Cash Flow of Project'!L92="","",NPV($C$4,OFFSET('Cash Flow of Project'!$D92,0,0,1,L$6))+$C92))</f>
        <v/>
      </c>
      <c r="M92" s="131" t="str">
        <f ca="1">IF($B92="","",IF('Cash Flow of Project'!M92="","",NPV($C$4,OFFSET('Cash Flow of Project'!$D92,0,0,1,M$6))+$C92))</f>
        <v/>
      </c>
    </row>
    <row r="93" spans="2:13" x14ac:dyDescent="0.35">
      <c r="B93" s="125"/>
      <c r="C93" s="125"/>
      <c r="D93" s="131" t="str">
        <f ca="1">IF($B93="","",IF('Cash Flow of Project'!D93="","",NPV($C$4,OFFSET('Cash Flow of Project'!$D93,0,0,1,D$6))+$C93))</f>
        <v/>
      </c>
      <c r="E93" s="131" t="str">
        <f ca="1">IF($B93="","",IF('Cash Flow of Project'!E93="","",NPV($C$4,OFFSET('Cash Flow of Project'!$D93,0,0,1,E$6))+$C93))</f>
        <v/>
      </c>
      <c r="F93" s="131" t="str">
        <f ca="1">IF($B93="","",IF('Cash Flow of Project'!F93="","",NPV($C$4,OFFSET('Cash Flow of Project'!$D93,0,0,1,F$6))+$C93))</f>
        <v/>
      </c>
      <c r="G93" s="131" t="str">
        <f ca="1">IF($B93="","",IF('Cash Flow of Project'!G93="","",NPV($C$4,OFFSET('Cash Flow of Project'!$D93,0,0,1,G$6))+$C93))</f>
        <v/>
      </c>
      <c r="H93" s="131" t="str">
        <f ca="1">IF($B93="","",IF('Cash Flow of Project'!H93="","",NPV($C$4,OFFSET('Cash Flow of Project'!$D93,0,0,1,H$6))+$C93))</f>
        <v/>
      </c>
      <c r="I93" s="131" t="str">
        <f ca="1">IF($B93="","",IF('Cash Flow of Project'!I93="","",NPV($C$4,OFFSET('Cash Flow of Project'!$D93,0,0,1,I$6))+$C93))</f>
        <v/>
      </c>
      <c r="J93" s="131" t="str">
        <f ca="1">IF($B93="","",IF('Cash Flow of Project'!J93="","",NPV($C$4,OFFSET('Cash Flow of Project'!$D93,0,0,1,J$6))+$C93))</f>
        <v/>
      </c>
      <c r="K93" s="131" t="str">
        <f ca="1">IF($B93="","",IF('Cash Flow of Project'!K93="","",NPV($C$4,OFFSET('Cash Flow of Project'!$D93,0,0,1,K$6))+$C93))</f>
        <v/>
      </c>
      <c r="L93" s="131" t="str">
        <f ca="1">IF($B93="","",IF('Cash Flow of Project'!L93="","",NPV($C$4,OFFSET('Cash Flow of Project'!$D93,0,0,1,L$6))+$C93))</f>
        <v/>
      </c>
      <c r="M93" s="131" t="str">
        <f ca="1">IF($B93="","",IF('Cash Flow of Project'!M93="","",NPV($C$4,OFFSET('Cash Flow of Project'!$D93,0,0,1,M$6))+$C93))</f>
        <v/>
      </c>
    </row>
    <row r="94" spans="2:13" x14ac:dyDescent="0.35">
      <c r="B94" s="125"/>
      <c r="C94" s="125"/>
      <c r="D94" s="131" t="str">
        <f ca="1">IF($B94="","",IF('Cash Flow of Project'!D94="","",NPV($C$4,OFFSET('Cash Flow of Project'!$D94,0,0,1,D$6))+$C94))</f>
        <v/>
      </c>
      <c r="E94" s="131" t="str">
        <f ca="1">IF($B94="","",IF('Cash Flow of Project'!E94="","",NPV($C$4,OFFSET('Cash Flow of Project'!$D94,0,0,1,E$6))+$C94))</f>
        <v/>
      </c>
      <c r="F94" s="131" t="str">
        <f ca="1">IF($B94="","",IF('Cash Flow of Project'!F94="","",NPV($C$4,OFFSET('Cash Flow of Project'!$D94,0,0,1,F$6))+$C94))</f>
        <v/>
      </c>
      <c r="G94" s="131" t="str">
        <f ca="1">IF($B94="","",IF('Cash Flow of Project'!G94="","",NPV($C$4,OFFSET('Cash Flow of Project'!$D94,0,0,1,G$6))+$C94))</f>
        <v/>
      </c>
      <c r="H94" s="131" t="str">
        <f ca="1">IF($B94="","",IF('Cash Flow of Project'!H94="","",NPV($C$4,OFFSET('Cash Flow of Project'!$D94,0,0,1,H$6))+$C94))</f>
        <v/>
      </c>
      <c r="I94" s="131" t="str">
        <f ca="1">IF($B94="","",IF('Cash Flow of Project'!I94="","",NPV($C$4,OFFSET('Cash Flow of Project'!$D94,0,0,1,I$6))+$C94))</f>
        <v/>
      </c>
      <c r="J94" s="131" t="str">
        <f ca="1">IF($B94="","",IF('Cash Flow of Project'!J94="","",NPV($C$4,OFFSET('Cash Flow of Project'!$D94,0,0,1,J$6))+$C94))</f>
        <v/>
      </c>
      <c r="K94" s="131" t="str">
        <f ca="1">IF($B94="","",IF('Cash Flow of Project'!K94="","",NPV($C$4,OFFSET('Cash Flow of Project'!$D94,0,0,1,K$6))+$C94))</f>
        <v/>
      </c>
      <c r="L94" s="131" t="str">
        <f ca="1">IF($B94="","",IF('Cash Flow of Project'!L94="","",NPV($C$4,OFFSET('Cash Flow of Project'!$D94,0,0,1,L$6))+$C94))</f>
        <v/>
      </c>
      <c r="M94" s="131" t="str">
        <f ca="1">IF($B94="","",IF('Cash Flow of Project'!M94="","",NPV($C$4,OFFSET('Cash Flow of Project'!$D94,0,0,1,M$6))+$C94))</f>
        <v/>
      </c>
    </row>
    <row r="95" spans="2:13" x14ac:dyDescent="0.35">
      <c r="B95" s="125"/>
      <c r="C95" s="125"/>
      <c r="D95" s="131" t="str">
        <f ca="1">IF($B95="","",IF('Cash Flow of Project'!D95="","",NPV($C$4,OFFSET('Cash Flow of Project'!$D95,0,0,1,D$6))+$C95))</f>
        <v/>
      </c>
      <c r="E95" s="131" t="str">
        <f ca="1">IF($B95="","",IF('Cash Flow of Project'!E95="","",NPV($C$4,OFFSET('Cash Flow of Project'!$D95,0,0,1,E$6))+$C95))</f>
        <v/>
      </c>
      <c r="F95" s="131" t="str">
        <f ca="1">IF($B95="","",IF('Cash Flow of Project'!F95="","",NPV($C$4,OFFSET('Cash Flow of Project'!$D95,0,0,1,F$6))+$C95))</f>
        <v/>
      </c>
      <c r="G95" s="131" t="str">
        <f ca="1">IF($B95="","",IF('Cash Flow of Project'!G95="","",NPV($C$4,OFFSET('Cash Flow of Project'!$D95,0,0,1,G$6))+$C95))</f>
        <v/>
      </c>
      <c r="H95" s="131" t="str">
        <f ca="1">IF($B95="","",IF('Cash Flow of Project'!H95="","",NPV($C$4,OFFSET('Cash Flow of Project'!$D95,0,0,1,H$6))+$C95))</f>
        <v/>
      </c>
      <c r="I95" s="131" t="str">
        <f ca="1">IF($B95="","",IF('Cash Flow of Project'!I95="","",NPV($C$4,OFFSET('Cash Flow of Project'!$D95,0,0,1,I$6))+$C95))</f>
        <v/>
      </c>
      <c r="J95" s="131" t="str">
        <f ca="1">IF($B95="","",IF('Cash Flow of Project'!J95="","",NPV($C$4,OFFSET('Cash Flow of Project'!$D95,0,0,1,J$6))+$C95))</f>
        <v/>
      </c>
      <c r="K95" s="131" t="str">
        <f ca="1">IF($B95="","",IF('Cash Flow of Project'!K95="","",NPV($C$4,OFFSET('Cash Flow of Project'!$D95,0,0,1,K$6))+$C95))</f>
        <v/>
      </c>
      <c r="L95" s="131" t="str">
        <f ca="1">IF($B95="","",IF('Cash Flow of Project'!L95="","",NPV($C$4,OFFSET('Cash Flow of Project'!$D95,0,0,1,L$6))+$C95))</f>
        <v/>
      </c>
      <c r="M95" s="131" t="str">
        <f ca="1">IF($B95="","",IF('Cash Flow of Project'!M95="","",NPV($C$4,OFFSET('Cash Flow of Project'!$D95,0,0,1,M$6))+$C95))</f>
        <v/>
      </c>
    </row>
    <row r="96" spans="2:13" x14ac:dyDescent="0.35">
      <c r="B96" s="125"/>
      <c r="C96" s="125"/>
      <c r="D96" s="131" t="str">
        <f ca="1">IF($B96="","",IF('Cash Flow of Project'!D96="","",NPV($C$4,OFFSET('Cash Flow of Project'!$D96,0,0,1,D$6))+$C96))</f>
        <v/>
      </c>
      <c r="E96" s="131" t="str">
        <f ca="1">IF($B96="","",IF('Cash Flow of Project'!E96="","",NPV($C$4,OFFSET('Cash Flow of Project'!$D96,0,0,1,E$6))+$C96))</f>
        <v/>
      </c>
      <c r="F96" s="131" t="str">
        <f ca="1">IF($B96="","",IF('Cash Flow of Project'!F96="","",NPV($C$4,OFFSET('Cash Flow of Project'!$D96,0,0,1,F$6))+$C96))</f>
        <v/>
      </c>
      <c r="G96" s="131" t="str">
        <f ca="1">IF($B96="","",IF('Cash Flow of Project'!G96="","",NPV($C$4,OFFSET('Cash Flow of Project'!$D96,0,0,1,G$6))+$C96))</f>
        <v/>
      </c>
      <c r="H96" s="131" t="str">
        <f ca="1">IF($B96="","",IF('Cash Flow of Project'!H96="","",NPV($C$4,OFFSET('Cash Flow of Project'!$D96,0,0,1,H$6))+$C96))</f>
        <v/>
      </c>
      <c r="I96" s="131" t="str">
        <f ca="1">IF($B96="","",IF('Cash Flow of Project'!I96="","",NPV($C$4,OFFSET('Cash Flow of Project'!$D96,0,0,1,I$6))+$C96))</f>
        <v/>
      </c>
      <c r="J96" s="131" t="str">
        <f ca="1">IF($B96="","",IF('Cash Flow of Project'!J96="","",NPV($C$4,OFFSET('Cash Flow of Project'!$D96,0,0,1,J$6))+$C96))</f>
        <v/>
      </c>
      <c r="K96" s="131" t="str">
        <f ca="1">IF($B96="","",IF('Cash Flow of Project'!K96="","",NPV($C$4,OFFSET('Cash Flow of Project'!$D96,0,0,1,K$6))+$C96))</f>
        <v/>
      </c>
      <c r="L96" s="131" t="str">
        <f ca="1">IF($B96="","",IF('Cash Flow of Project'!L96="","",NPV($C$4,OFFSET('Cash Flow of Project'!$D96,0,0,1,L$6))+$C96))</f>
        <v/>
      </c>
      <c r="M96" s="131" t="str">
        <f ca="1">IF($B96="","",IF('Cash Flow of Project'!M96="","",NPV($C$4,OFFSET('Cash Flow of Project'!$D96,0,0,1,M$6))+$C96))</f>
        <v/>
      </c>
    </row>
    <row r="97" spans="2:13" x14ac:dyDescent="0.35">
      <c r="B97" s="125"/>
      <c r="C97" s="125"/>
      <c r="D97" s="131" t="str">
        <f ca="1">IF($B97="","",IF('Cash Flow of Project'!D97="","",NPV($C$4,OFFSET('Cash Flow of Project'!$D97,0,0,1,D$6))+$C97))</f>
        <v/>
      </c>
      <c r="E97" s="131" t="str">
        <f ca="1">IF($B97="","",IF('Cash Flow of Project'!E97="","",NPV($C$4,OFFSET('Cash Flow of Project'!$D97,0,0,1,E$6))+$C97))</f>
        <v/>
      </c>
      <c r="F97" s="131" t="str">
        <f ca="1">IF($B97="","",IF('Cash Flow of Project'!F97="","",NPV($C$4,OFFSET('Cash Flow of Project'!$D97,0,0,1,F$6))+$C97))</f>
        <v/>
      </c>
      <c r="G97" s="131" t="str">
        <f ca="1">IF($B97="","",IF('Cash Flow of Project'!G97="","",NPV($C$4,OFFSET('Cash Flow of Project'!$D97,0,0,1,G$6))+$C97))</f>
        <v/>
      </c>
      <c r="H97" s="131" t="str">
        <f ca="1">IF($B97="","",IF('Cash Flow of Project'!H97="","",NPV($C$4,OFFSET('Cash Flow of Project'!$D97,0,0,1,H$6))+$C97))</f>
        <v/>
      </c>
      <c r="I97" s="131" t="str">
        <f ca="1">IF($B97="","",IF('Cash Flow of Project'!I97="","",NPV($C$4,OFFSET('Cash Flow of Project'!$D97,0,0,1,I$6))+$C97))</f>
        <v/>
      </c>
      <c r="J97" s="131" t="str">
        <f ca="1">IF($B97="","",IF('Cash Flow of Project'!J97="","",NPV($C$4,OFFSET('Cash Flow of Project'!$D97,0,0,1,J$6))+$C97))</f>
        <v/>
      </c>
      <c r="K97" s="131" t="str">
        <f ca="1">IF($B97="","",IF('Cash Flow of Project'!K97="","",NPV($C$4,OFFSET('Cash Flow of Project'!$D97,0,0,1,K$6))+$C97))</f>
        <v/>
      </c>
      <c r="L97" s="131" t="str">
        <f ca="1">IF($B97="","",IF('Cash Flow of Project'!L97="","",NPV($C$4,OFFSET('Cash Flow of Project'!$D97,0,0,1,L$6))+$C97))</f>
        <v/>
      </c>
      <c r="M97" s="131" t="str">
        <f ca="1">IF($B97="","",IF('Cash Flow of Project'!M97="","",NPV($C$4,OFFSET('Cash Flow of Project'!$D97,0,0,1,M$6))+$C97))</f>
        <v/>
      </c>
    </row>
    <row r="98" spans="2:13" x14ac:dyDescent="0.35">
      <c r="B98" s="125"/>
      <c r="C98" s="125"/>
      <c r="D98" s="131" t="str">
        <f ca="1">IF($B98="","",IF('Cash Flow of Project'!D98="","",NPV($C$4,OFFSET('Cash Flow of Project'!$D98,0,0,1,D$6))+$C98))</f>
        <v/>
      </c>
      <c r="E98" s="131" t="str">
        <f ca="1">IF($B98="","",IF('Cash Flow of Project'!E98="","",NPV($C$4,OFFSET('Cash Flow of Project'!$D98,0,0,1,E$6))+$C98))</f>
        <v/>
      </c>
      <c r="F98" s="131" t="str">
        <f ca="1">IF($B98="","",IF('Cash Flow of Project'!F98="","",NPV($C$4,OFFSET('Cash Flow of Project'!$D98,0,0,1,F$6))+$C98))</f>
        <v/>
      </c>
      <c r="G98" s="131" t="str">
        <f ca="1">IF($B98="","",IF('Cash Flow of Project'!G98="","",NPV($C$4,OFFSET('Cash Flow of Project'!$D98,0,0,1,G$6))+$C98))</f>
        <v/>
      </c>
      <c r="H98" s="131" t="str">
        <f ca="1">IF($B98="","",IF('Cash Flow of Project'!H98="","",NPV($C$4,OFFSET('Cash Flow of Project'!$D98,0,0,1,H$6))+$C98))</f>
        <v/>
      </c>
      <c r="I98" s="131" t="str">
        <f ca="1">IF($B98="","",IF('Cash Flow of Project'!I98="","",NPV($C$4,OFFSET('Cash Flow of Project'!$D98,0,0,1,I$6))+$C98))</f>
        <v/>
      </c>
      <c r="J98" s="131" t="str">
        <f ca="1">IF($B98="","",IF('Cash Flow of Project'!J98="","",NPV($C$4,OFFSET('Cash Flow of Project'!$D98,0,0,1,J$6))+$C98))</f>
        <v/>
      </c>
      <c r="K98" s="131" t="str">
        <f ca="1">IF($B98="","",IF('Cash Flow of Project'!K98="","",NPV($C$4,OFFSET('Cash Flow of Project'!$D98,0,0,1,K$6))+$C98))</f>
        <v/>
      </c>
      <c r="L98" s="131" t="str">
        <f ca="1">IF($B98="","",IF('Cash Flow of Project'!L98="","",NPV($C$4,OFFSET('Cash Flow of Project'!$D98,0,0,1,L$6))+$C98))</f>
        <v/>
      </c>
      <c r="M98" s="131" t="str">
        <f ca="1">IF($B98="","",IF('Cash Flow of Project'!M98="","",NPV($C$4,OFFSET('Cash Flow of Project'!$D98,0,0,1,M$6))+$C98))</f>
        <v/>
      </c>
    </row>
    <row r="99" spans="2:13" x14ac:dyDescent="0.35">
      <c r="B99" s="125"/>
      <c r="C99" s="125"/>
      <c r="D99" s="131" t="str">
        <f ca="1">IF($B99="","",IF('Cash Flow of Project'!D99="","",NPV($C$4,OFFSET('Cash Flow of Project'!$D99,0,0,1,D$6))+$C99))</f>
        <v/>
      </c>
      <c r="E99" s="131" t="str">
        <f ca="1">IF($B99="","",IF('Cash Flow of Project'!E99="","",NPV($C$4,OFFSET('Cash Flow of Project'!$D99,0,0,1,E$6))+$C99))</f>
        <v/>
      </c>
      <c r="F99" s="131" t="str">
        <f ca="1">IF($B99="","",IF('Cash Flow of Project'!F99="","",NPV($C$4,OFFSET('Cash Flow of Project'!$D99,0,0,1,F$6))+$C99))</f>
        <v/>
      </c>
      <c r="G99" s="131" t="str">
        <f ca="1">IF($B99="","",IF('Cash Flow of Project'!G99="","",NPV($C$4,OFFSET('Cash Flow of Project'!$D99,0,0,1,G$6))+$C99))</f>
        <v/>
      </c>
      <c r="H99" s="131" t="str">
        <f ca="1">IF($B99="","",IF('Cash Flow of Project'!H99="","",NPV($C$4,OFFSET('Cash Flow of Project'!$D99,0,0,1,H$6))+$C99))</f>
        <v/>
      </c>
      <c r="I99" s="131" t="str">
        <f ca="1">IF($B99="","",IF('Cash Flow of Project'!I99="","",NPV($C$4,OFFSET('Cash Flow of Project'!$D99,0,0,1,I$6))+$C99))</f>
        <v/>
      </c>
      <c r="J99" s="131" t="str">
        <f ca="1">IF($B99="","",IF('Cash Flow of Project'!J99="","",NPV($C$4,OFFSET('Cash Flow of Project'!$D99,0,0,1,J$6))+$C99))</f>
        <v/>
      </c>
      <c r="K99" s="131" t="str">
        <f ca="1">IF($B99="","",IF('Cash Flow of Project'!K99="","",NPV($C$4,OFFSET('Cash Flow of Project'!$D99,0,0,1,K$6))+$C99))</f>
        <v/>
      </c>
      <c r="L99" s="131" t="str">
        <f ca="1">IF($B99="","",IF('Cash Flow of Project'!L99="","",NPV($C$4,OFFSET('Cash Flow of Project'!$D99,0,0,1,L$6))+$C99))</f>
        <v/>
      </c>
      <c r="M99" s="131" t="str">
        <f ca="1">IF($B99="","",IF('Cash Flow of Project'!M99="","",NPV($C$4,OFFSET('Cash Flow of Project'!$D99,0,0,1,M$6))+$C99))</f>
        <v/>
      </c>
    </row>
    <row r="100" spans="2:13" x14ac:dyDescent="0.35">
      <c r="B100" s="125"/>
      <c r="C100" s="125"/>
      <c r="D100" s="131" t="str">
        <f ca="1">IF($B100="","",IF('Cash Flow of Project'!D100="","",NPV($C$4,OFFSET('Cash Flow of Project'!$D100,0,0,1,D$6))+$C100))</f>
        <v/>
      </c>
      <c r="E100" s="131" t="str">
        <f ca="1">IF($B100="","",IF('Cash Flow of Project'!E100="","",NPV($C$4,OFFSET('Cash Flow of Project'!$D100,0,0,1,E$6))+$C100))</f>
        <v/>
      </c>
      <c r="F100" s="131" t="str">
        <f ca="1">IF($B100="","",IF('Cash Flow of Project'!F100="","",NPV($C$4,OFFSET('Cash Flow of Project'!$D100,0,0,1,F$6))+$C100))</f>
        <v/>
      </c>
      <c r="G100" s="131" t="str">
        <f ca="1">IF($B100="","",IF('Cash Flow of Project'!G100="","",NPV($C$4,OFFSET('Cash Flow of Project'!$D100,0,0,1,G$6))+$C100))</f>
        <v/>
      </c>
      <c r="H100" s="131" t="str">
        <f ca="1">IF($B100="","",IF('Cash Flow of Project'!H100="","",NPV($C$4,OFFSET('Cash Flow of Project'!$D100,0,0,1,H$6))+$C100))</f>
        <v/>
      </c>
      <c r="I100" s="131" t="str">
        <f ca="1">IF($B100="","",IF('Cash Flow of Project'!I100="","",NPV($C$4,OFFSET('Cash Flow of Project'!$D100,0,0,1,I$6))+$C100))</f>
        <v/>
      </c>
      <c r="J100" s="131" t="str">
        <f ca="1">IF($B100="","",IF('Cash Flow of Project'!J100="","",NPV($C$4,OFFSET('Cash Flow of Project'!$D100,0,0,1,J$6))+$C100))</f>
        <v/>
      </c>
      <c r="K100" s="131" t="str">
        <f ca="1">IF($B100="","",IF('Cash Flow of Project'!K100="","",NPV($C$4,OFFSET('Cash Flow of Project'!$D100,0,0,1,K$6))+$C100))</f>
        <v/>
      </c>
      <c r="L100" s="131" t="str">
        <f ca="1">IF($B100="","",IF('Cash Flow of Project'!L100="","",NPV($C$4,OFFSET('Cash Flow of Project'!$D100,0,0,1,L$6))+$C100))</f>
        <v/>
      </c>
      <c r="M100" s="131" t="str">
        <f ca="1">IF($B100="","",IF('Cash Flow of Project'!M100="","",NPV($C$4,OFFSET('Cash Flow of Project'!$D100,0,0,1,M$6))+$C100))</f>
        <v/>
      </c>
    </row>
    <row r="101" spans="2:13" x14ac:dyDescent="0.35">
      <c r="B101" s="125"/>
      <c r="C101" s="125"/>
      <c r="D101" s="131" t="str">
        <f ca="1">IF($B101="","",IF('Cash Flow of Project'!D101="","",NPV($C$4,OFFSET('Cash Flow of Project'!$D101,0,0,1,D$6))+$C101))</f>
        <v/>
      </c>
      <c r="E101" s="131" t="str">
        <f ca="1">IF($B101="","",IF('Cash Flow of Project'!E101="","",NPV($C$4,OFFSET('Cash Flow of Project'!$D101,0,0,1,E$6))+$C101))</f>
        <v/>
      </c>
      <c r="F101" s="131" t="str">
        <f ca="1">IF($B101="","",IF('Cash Flow of Project'!F101="","",NPV($C$4,OFFSET('Cash Flow of Project'!$D101,0,0,1,F$6))+$C101))</f>
        <v/>
      </c>
      <c r="G101" s="131" t="str">
        <f ca="1">IF($B101="","",IF('Cash Flow of Project'!G101="","",NPV($C$4,OFFSET('Cash Flow of Project'!$D101,0,0,1,G$6))+$C101))</f>
        <v/>
      </c>
      <c r="H101" s="131" t="str">
        <f ca="1">IF($B101="","",IF('Cash Flow of Project'!H101="","",NPV($C$4,OFFSET('Cash Flow of Project'!$D101,0,0,1,H$6))+$C101))</f>
        <v/>
      </c>
      <c r="I101" s="131" t="str">
        <f ca="1">IF($B101="","",IF('Cash Flow of Project'!I101="","",NPV($C$4,OFFSET('Cash Flow of Project'!$D101,0,0,1,I$6))+$C101))</f>
        <v/>
      </c>
      <c r="J101" s="131" t="str">
        <f ca="1">IF($B101="","",IF('Cash Flow of Project'!J101="","",NPV($C$4,OFFSET('Cash Flow of Project'!$D101,0,0,1,J$6))+$C101))</f>
        <v/>
      </c>
      <c r="K101" s="131" t="str">
        <f ca="1">IF($B101="","",IF('Cash Flow of Project'!K101="","",NPV($C$4,OFFSET('Cash Flow of Project'!$D101,0,0,1,K$6))+$C101))</f>
        <v/>
      </c>
      <c r="L101" s="131" t="str">
        <f ca="1">IF($B101="","",IF('Cash Flow of Project'!L101="","",NPV($C$4,OFFSET('Cash Flow of Project'!$D101,0,0,1,L$6))+$C101))</f>
        <v/>
      </c>
      <c r="M101" s="131" t="str">
        <f ca="1">IF($B101="","",IF('Cash Flow of Project'!M101="","",NPV($C$4,OFFSET('Cash Flow of Project'!$D101,0,0,1,M$6))+$C101))</f>
        <v/>
      </c>
    </row>
    <row r="102" spans="2:13" x14ac:dyDescent="0.35">
      <c r="B102" s="125"/>
      <c r="C102" s="125"/>
      <c r="D102" s="131" t="str">
        <f ca="1">IF($B102="","",IF('Cash Flow of Project'!D102="","",NPV($C$4,OFFSET('Cash Flow of Project'!$D102,0,0,1,D$6))+$C102))</f>
        <v/>
      </c>
      <c r="E102" s="131" t="str">
        <f ca="1">IF($B102="","",IF('Cash Flow of Project'!E102="","",NPV($C$4,OFFSET('Cash Flow of Project'!$D102,0,0,1,E$6))+$C102))</f>
        <v/>
      </c>
      <c r="F102" s="131" t="str">
        <f ca="1">IF($B102="","",IF('Cash Flow of Project'!F102="","",NPV($C$4,OFFSET('Cash Flow of Project'!$D102,0,0,1,F$6))+$C102))</f>
        <v/>
      </c>
      <c r="G102" s="131" t="str">
        <f ca="1">IF($B102="","",IF('Cash Flow of Project'!G102="","",NPV($C$4,OFFSET('Cash Flow of Project'!$D102,0,0,1,G$6))+$C102))</f>
        <v/>
      </c>
      <c r="H102" s="131" t="str">
        <f ca="1">IF($B102="","",IF('Cash Flow of Project'!H102="","",NPV($C$4,OFFSET('Cash Flow of Project'!$D102,0,0,1,H$6))+$C102))</f>
        <v/>
      </c>
      <c r="I102" s="131" t="str">
        <f ca="1">IF($B102="","",IF('Cash Flow of Project'!I102="","",NPV($C$4,OFFSET('Cash Flow of Project'!$D102,0,0,1,I$6))+$C102))</f>
        <v/>
      </c>
      <c r="J102" s="131" t="str">
        <f ca="1">IF($B102="","",IF('Cash Flow of Project'!J102="","",NPV($C$4,OFFSET('Cash Flow of Project'!$D102,0,0,1,J$6))+$C102))</f>
        <v/>
      </c>
      <c r="K102" s="131" t="str">
        <f ca="1">IF($B102="","",IF('Cash Flow of Project'!K102="","",NPV($C$4,OFFSET('Cash Flow of Project'!$D102,0,0,1,K$6))+$C102))</f>
        <v/>
      </c>
      <c r="L102" s="131" t="str">
        <f ca="1">IF($B102="","",IF('Cash Flow of Project'!L102="","",NPV($C$4,OFFSET('Cash Flow of Project'!$D102,0,0,1,L$6))+$C102))</f>
        <v/>
      </c>
      <c r="M102" s="131" t="str">
        <f ca="1">IF($B102="","",IF('Cash Flow of Project'!M102="","",NPV($C$4,OFFSET('Cash Flow of Project'!$D102,0,0,1,M$6))+$C102))</f>
        <v/>
      </c>
    </row>
    <row r="103" spans="2:13" x14ac:dyDescent="0.35">
      <c r="B103" s="125"/>
      <c r="C103" s="125"/>
      <c r="D103" s="131" t="str">
        <f ca="1">IF($B103="","",IF('Cash Flow of Project'!D103="","",NPV($C$4,OFFSET('Cash Flow of Project'!$D103,0,0,1,D$6))+$C103))</f>
        <v/>
      </c>
      <c r="E103" s="131" t="str">
        <f ca="1">IF($B103="","",IF('Cash Flow of Project'!E103="","",NPV($C$4,OFFSET('Cash Flow of Project'!$D103,0,0,1,E$6))+$C103))</f>
        <v/>
      </c>
      <c r="F103" s="131" t="str">
        <f ca="1">IF($B103="","",IF('Cash Flow of Project'!F103="","",NPV($C$4,OFFSET('Cash Flow of Project'!$D103,0,0,1,F$6))+$C103))</f>
        <v/>
      </c>
      <c r="G103" s="131" t="str">
        <f ca="1">IF($B103="","",IF('Cash Flow of Project'!G103="","",NPV($C$4,OFFSET('Cash Flow of Project'!$D103,0,0,1,G$6))+$C103))</f>
        <v/>
      </c>
      <c r="H103" s="131" t="str">
        <f ca="1">IF($B103="","",IF('Cash Flow of Project'!H103="","",NPV($C$4,OFFSET('Cash Flow of Project'!$D103,0,0,1,H$6))+$C103))</f>
        <v/>
      </c>
      <c r="I103" s="131" t="str">
        <f ca="1">IF($B103="","",IF('Cash Flow of Project'!I103="","",NPV($C$4,OFFSET('Cash Flow of Project'!$D103,0,0,1,I$6))+$C103))</f>
        <v/>
      </c>
      <c r="J103" s="131" t="str">
        <f ca="1">IF($B103="","",IF('Cash Flow of Project'!J103="","",NPV($C$4,OFFSET('Cash Flow of Project'!$D103,0,0,1,J$6))+$C103))</f>
        <v/>
      </c>
      <c r="K103" s="131" t="str">
        <f ca="1">IF($B103="","",IF('Cash Flow of Project'!K103="","",NPV($C$4,OFFSET('Cash Flow of Project'!$D103,0,0,1,K$6))+$C103))</f>
        <v/>
      </c>
      <c r="L103" s="131" t="str">
        <f ca="1">IF($B103="","",IF('Cash Flow of Project'!L103="","",NPV($C$4,OFFSET('Cash Flow of Project'!$D103,0,0,1,L$6))+$C103))</f>
        <v/>
      </c>
      <c r="M103" s="131" t="str">
        <f ca="1">IF($B103="","",IF('Cash Flow of Project'!M103="","",NPV($C$4,OFFSET('Cash Flow of Project'!$D103,0,0,1,M$6))+$C103))</f>
        <v/>
      </c>
    </row>
    <row r="104" spans="2:13" x14ac:dyDescent="0.35">
      <c r="B104" s="125"/>
      <c r="C104" s="125"/>
      <c r="D104" s="131" t="str">
        <f ca="1">IF($B104="","",IF('Cash Flow of Project'!D104="","",NPV($C$4,OFFSET('Cash Flow of Project'!$D104,0,0,1,D$6))+$C104))</f>
        <v/>
      </c>
      <c r="E104" s="131" t="str">
        <f ca="1">IF($B104="","",IF('Cash Flow of Project'!E104="","",NPV($C$4,OFFSET('Cash Flow of Project'!$D104,0,0,1,E$6))+$C104))</f>
        <v/>
      </c>
      <c r="F104" s="131" t="str">
        <f ca="1">IF($B104="","",IF('Cash Flow of Project'!F104="","",NPV($C$4,OFFSET('Cash Flow of Project'!$D104,0,0,1,F$6))+$C104))</f>
        <v/>
      </c>
      <c r="G104" s="131" t="str">
        <f ca="1">IF($B104="","",IF('Cash Flow of Project'!G104="","",NPV($C$4,OFFSET('Cash Flow of Project'!$D104,0,0,1,G$6))+$C104))</f>
        <v/>
      </c>
      <c r="H104" s="131" t="str">
        <f ca="1">IF($B104="","",IF('Cash Flow of Project'!H104="","",NPV($C$4,OFFSET('Cash Flow of Project'!$D104,0,0,1,H$6))+$C104))</f>
        <v/>
      </c>
      <c r="I104" s="131" t="str">
        <f ca="1">IF($B104="","",IF('Cash Flow of Project'!I104="","",NPV($C$4,OFFSET('Cash Flow of Project'!$D104,0,0,1,I$6))+$C104))</f>
        <v/>
      </c>
      <c r="J104" s="131" t="str">
        <f ca="1">IF($B104="","",IF('Cash Flow of Project'!J104="","",NPV($C$4,OFFSET('Cash Flow of Project'!$D104,0,0,1,J$6))+$C104))</f>
        <v/>
      </c>
      <c r="K104" s="131" t="str">
        <f ca="1">IF($B104="","",IF('Cash Flow of Project'!K104="","",NPV($C$4,OFFSET('Cash Flow of Project'!$D104,0,0,1,K$6))+$C104))</f>
        <v/>
      </c>
      <c r="L104" s="131" t="str">
        <f ca="1">IF($B104="","",IF('Cash Flow of Project'!L104="","",NPV($C$4,OFFSET('Cash Flow of Project'!$D104,0,0,1,L$6))+$C104))</f>
        <v/>
      </c>
      <c r="M104" s="131" t="str">
        <f ca="1">IF($B104="","",IF('Cash Flow of Project'!M104="","",NPV($C$4,OFFSET('Cash Flow of Project'!$D104,0,0,1,M$6))+$C104))</f>
        <v/>
      </c>
    </row>
    <row r="105" spans="2:13" x14ac:dyDescent="0.35">
      <c r="B105" s="125"/>
      <c r="C105" s="125"/>
      <c r="D105" s="131" t="str">
        <f ca="1">IF($B105="","",IF('Cash Flow of Project'!D105="","",NPV($C$4,OFFSET('Cash Flow of Project'!$D105,0,0,1,D$6))+$C105))</f>
        <v/>
      </c>
      <c r="E105" s="131" t="str">
        <f ca="1">IF($B105="","",IF('Cash Flow of Project'!E105="","",NPV($C$4,OFFSET('Cash Flow of Project'!$D105,0,0,1,E$6))+$C105))</f>
        <v/>
      </c>
      <c r="F105" s="131" t="str">
        <f ca="1">IF($B105="","",IF('Cash Flow of Project'!F105="","",NPV($C$4,OFFSET('Cash Flow of Project'!$D105,0,0,1,F$6))+$C105))</f>
        <v/>
      </c>
      <c r="G105" s="131" t="str">
        <f ca="1">IF($B105="","",IF('Cash Flow of Project'!G105="","",NPV($C$4,OFFSET('Cash Flow of Project'!$D105,0,0,1,G$6))+$C105))</f>
        <v/>
      </c>
      <c r="H105" s="131" t="str">
        <f ca="1">IF($B105="","",IF('Cash Flow of Project'!H105="","",NPV($C$4,OFFSET('Cash Flow of Project'!$D105,0,0,1,H$6))+$C105))</f>
        <v/>
      </c>
      <c r="I105" s="131" t="str">
        <f ca="1">IF($B105="","",IF('Cash Flow of Project'!I105="","",NPV($C$4,OFFSET('Cash Flow of Project'!$D105,0,0,1,I$6))+$C105))</f>
        <v/>
      </c>
      <c r="J105" s="131" t="str">
        <f ca="1">IF($B105="","",IF('Cash Flow of Project'!J105="","",NPV($C$4,OFFSET('Cash Flow of Project'!$D105,0,0,1,J$6))+$C105))</f>
        <v/>
      </c>
      <c r="K105" s="131" t="str">
        <f ca="1">IF($B105="","",IF('Cash Flow of Project'!K105="","",NPV($C$4,OFFSET('Cash Flow of Project'!$D105,0,0,1,K$6))+$C105))</f>
        <v/>
      </c>
      <c r="L105" s="131" t="str">
        <f ca="1">IF($B105="","",IF('Cash Flow of Project'!L105="","",NPV($C$4,OFFSET('Cash Flow of Project'!$D105,0,0,1,L$6))+$C105))</f>
        <v/>
      </c>
      <c r="M105" s="131" t="str">
        <f ca="1">IF($B105="","",IF('Cash Flow of Project'!M105="","",NPV($C$4,OFFSET('Cash Flow of Project'!$D105,0,0,1,M$6))+$C105))</f>
        <v/>
      </c>
    </row>
    <row r="106" spans="2:13" x14ac:dyDescent="0.35">
      <c r="B106" s="125"/>
      <c r="C106" s="125"/>
      <c r="D106" s="131" t="str">
        <f ca="1">IF($B106="","",IF('Cash Flow of Project'!D106="","",NPV($C$4,OFFSET('Cash Flow of Project'!$D106,0,0,1,D$6))+$C106))</f>
        <v/>
      </c>
      <c r="E106" s="131" t="str">
        <f ca="1">IF($B106="","",IF('Cash Flow of Project'!E106="","",NPV($C$4,OFFSET('Cash Flow of Project'!$D106,0,0,1,E$6))+$C106))</f>
        <v/>
      </c>
      <c r="F106" s="131" t="str">
        <f ca="1">IF($B106="","",IF('Cash Flow of Project'!F106="","",NPV($C$4,OFFSET('Cash Flow of Project'!$D106,0,0,1,F$6))+$C106))</f>
        <v/>
      </c>
      <c r="G106" s="131" t="str">
        <f ca="1">IF($B106="","",IF('Cash Flow of Project'!G106="","",NPV($C$4,OFFSET('Cash Flow of Project'!$D106,0,0,1,G$6))+$C106))</f>
        <v/>
      </c>
      <c r="H106" s="131" t="str">
        <f ca="1">IF($B106="","",IF('Cash Flow of Project'!H106="","",NPV($C$4,OFFSET('Cash Flow of Project'!$D106,0,0,1,H$6))+$C106))</f>
        <v/>
      </c>
      <c r="I106" s="131" t="str">
        <f ca="1">IF($B106="","",IF('Cash Flow of Project'!I106="","",NPV($C$4,OFFSET('Cash Flow of Project'!$D106,0,0,1,I$6))+$C106))</f>
        <v/>
      </c>
      <c r="J106" s="131" t="str">
        <f ca="1">IF($B106="","",IF('Cash Flow of Project'!J106="","",NPV($C$4,OFFSET('Cash Flow of Project'!$D106,0,0,1,J$6))+$C106))</f>
        <v/>
      </c>
      <c r="K106" s="131" t="str">
        <f ca="1">IF($B106="","",IF('Cash Flow of Project'!K106="","",NPV($C$4,OFFSET('Cash Flow of Project'!$D106,0,0,1,K$6))+$C106))</f>
        <v/>
      </c>
      <c r="L106" s="131" t="str">
        <f ca="1">IF($B106="","",IF('Cash Flow of Project'!L106="","",NPV($C$4,OFFSET('Cash Flow of Project'!$D106,0,0,1,L$6))+$C106))</f>
        <v/>
      </c>
      <c r="M106" s="131" t="str">
        <f ca="1">IF($B106="","",IF('Cash Flow of Project'!M106="","",NPV($C$4,OFFSET('Cash Flow of Project'!$D106,0,0,1,M$6))+$C106))</f>
        <v/>
      </c>
    </row>
    <row r="107" spans="2:13" x14ac:dyDescent="0.35">
      <c r="B107" s="125"/>
      <c r="C107" s="125"/>
      <c r="D107" s="131" t="str">
        <f ca="1">IF($B107="","",IF('Cash Flow of Project'!D107="","",NPV($C$4,OFFSET('Cash Flow of Project'!$D107,0,0,1,D$6))+$C107))</f>
        <v/>
      </c>
      <c r="E107" s="131" t="str">
        <f ca="1">IF($B107="","",IF('Cash Flow of Project'!E107="","",NPV($C$4,OFFSET('Cash Flow of Project'!$D107,0,0,1,E$6))+$C107))</f>
        <v/>
      </c>
      <c r="F107" s="131" t="str">
        <f ca="1">IF($B107="","",IF('Cash Flow of Project'!F107="","",NPV($C$4,OFFSET('Cash Flow of Project'!$D107,0,0,1,F$6))+$C107))</f>
        <v/>
      </c>
      <c r="G107" s="131" t="str">
        <f ca="1">IF($B107="","",IF('Cash Flow of Project'!G107="","",NPV($C$4,OFFSET('Cash Flow of Project'!$D107,0,0,1,G$6))+$C107))</f>
        <v/>
      </c>
      <c r="H107" s="131" t="str">
        <f ca="1">IF($B107="","",IF('Cash Flow of Project'!H107="","",NPV($C$4,OFFSET('Cash Flow of Project'!$D107,0,0,1,H$6))+$C107))</f>
        <v/>
      </c>
      <c r="I107" s="131" t="str">
        <f ca="1">IF($B107="","",IF('Cash Flow of Project'!I107="","",NPV($C$4,OFFSET('Cash Flow of Project'!$D107,0,0,1,I$6))+$C107))</f>
        <v/>
      </c>
      <c r="J107" s="131" t="str">
        <f ca="1">IF($B107="","",IF('Cash Flow of Project'!J107="","",NPV($C$4,OFFSET('Cash Flow of Project'!$D107,0,0,1,J$6))+$C107))</f>
        <v/>
      </c>
      <c r="K107" s="131" t="str">
        <f ca="1">IF($B107="","",IF('Cash Flow of Project'!K107="","",NPV($C$4,OFFSET('Cash Flow of Project'!$D107,0,0,1,K$6))+$C107))</f>
        <v/>
      </c>
      <c r="L107" s="131" t="str">
        <f ca="1">IF($B107="","",IF('Cash Flow of Project'!L107="","",NPV($C$4,OFFSET('Cash Flow of Project'!$D107,0,0,1,L$6))+$C107))</f>
        <v/>
      </c>
      <c r="M107" s="131" t="str">
        <f ca="1">IF($B107="","",IF('Cash Flow of Project'!M107="","",NPV($C$4,OFFSET('Cash Flow of Project'!$D107,0,0,1,M$6))+$C107))</f>
        <v/>
      </c>
    </row>
    <row r="108" spans="2:13" x14ac:dyDescent="0.35">
      <c r="B108" s="125"/>
      <c r="C108" s="125"/>
      <c r="D108" s="131" t="str">
        <f ca="1">IF($B108="","",IF('Cash Flow of Project'!D108="","",NPV($C$4,OFFSET('Cash Flow of Project'!$D108,0,0,1,D$6))+$C108))</f>
        <v/>
      </c>
      <c r="E108" s="131" t="str">
        <f ca="1">IF($B108="","",IF('Cash Flow of Project'!E108="","",NPV($C$4,OFFSET('Cash Flow of Project'!$D108,0,0,1,E$6))+$C108))</f>
        <v/>
      </c>
      <c r="F108" s="131" t="str">
        <f ca="1">IF($B108="","",IF('Cash Flow of Project'!F108="","",NPV($C$4,OFFSET('Cash Flow of Project'!$D108,0,0,1,F$6))+$C108))</f>
        <v/>
      </c>
      <c r="G108" s="131" t="str">
        <f ca="1">IF($B108="","",IF('Cash Flow of Project'!G108="","",NPV($C$4,OFFSET('Cash Flow of Project'!$D108,0,0,1,G$6))+$C108))</f>
        <v/>
      </c>
      <c r="H108" s="131" t="str">
        <f ca="1">IF($B108="","",IF('Cash Flow of Project'!H108="","",NPV($C$4,OFFSET('Cash Flow of Project'!$D108,0,0,1,H$6))+$C108))</f>
        <v/>
      </c>
      <c r="I108" s="131" t="str">
        <f ca="1">IF($B108="","",IF('Cash Flow of Project'!I108="","",NPV($C$4,OFFSET('Cash Flow of Project'!$D108,0,0,1,I$6))+$C108))</f>
        <v/>
      </c>
      <c r="J108" s="131" t="str">
        <f ca="1">IF($B108="","",IF('Cash Flow of Project'!J108="","",NPV($C$4,OFFSET('Cash Flow of Project'!$D108,0,0,1,J$6))+$C108))</f>
        <v/>
      </c>
      <c r="K108" s="131" t="str">
        <f ca="1">IF($B108="","",IF('Cash Flow of Project'!K108="","",NPV($C$4,OFFSET('Cash Flow of Project'!$D108,0,0,1,K$6))+$C108))</f>
        <v/>
      </c>
      <c r="L108" s="131" t="str">
        <f ca="1">IF($B108="","",IF('Cash Flow of Project'!L108="","",NPV($C$4,OFFSET('Cash Flow of Project'!$D108,0,0,1,L$6))+$C108))</f>
        <v/>
      </c>
      <c r="M108" s="131" t="str">
        <f ca="1">IF($B108="","",IF('Cash Flow of Project'!M108="","",NPV($C$4,OFFSET('Cash Flow of Project'!$D108,0,0,1,M$6))+$C108))</f>
        <v/>
      </c>
    </row>
    <row r="109" spans="2:13" x14ac:dyDescent="0.35">
      <c r="D109" s="28" t="str">
        <f ca="1">IF($B109="","",IF('Cash Flow of Project'!D109="","",NPV($C$4,OFFSET('Cash Flow of Project'!$D109,0,0,1,D$6))+$C109))</f>
        <v/>
      </c>
      <c r="E109" s="28" t="str">
        <f ca="1">IF($B109="","",IF('Cash Flow of Project'!E109="","",NPV($C$4,OFFSET('Cash Flow of Project'!$D109,0,0,1,E$6))+$C109))</f>
        <v/>
      </c>
      <c r="F109" s="28" t="str">
        <f ca="1">IF($B109="","",IF('Cash Flow of Project'!F109="","",NPV($C$4,OFFSET('Cash Flow of Project'!$D109,0,0,1,F$6))+$C109))</f>
        <v/>
      </c>
      <c r="G109" s="28" t="str">
        <f ca="1">IF($B109="","",IF('Cash Flow of Project'!G109="","",NPV($C$4,OFFSET('Cash Flow of Project'!$D109,0,0,1,G$6))+$C109))</f>
        <v/>
      </c>
      <c r="H109" s="28" t="str">
        <f ca="1">IF($B109="","",IF('Cash Flow of Project'!H109="","",NPV($C$4,OFFSET('Cash Flow of Project'!$D109,0,0,1,H$6))+$C109))</f>
        <v/>
      </c>
      <c r="I109" s="28" t="str">
        <f ca="1">IF($B109="","",IF('Cash Flow of Project'!I109="","",NPV($C$4,OFFSET('Cash Flow of Project'!$D109,0,0,1,I$6))+$C109))</f>
        <v/>
      </c>
      <c r="J109" s="28" t="str">
        <f ca="1">IF($B109="","",IF('Cash Flow of Project'!J109="","",NPV($C$4,OFFSET('Cash Flow of Project'!$D109,0,0,1,J$6))+$C109))</f>
        <v/>
      </c>
      <c r="K109" s="28" t="str">
        <f ca="1">IF($B109="","",IF('Cash Flow of Project'!K109="","",NPV($C$4,OFFSET('Cash Flow of Project'!$D109,0,0,1,K$6))+$C109))</f>
        <v/>
      </c>
      <c r="L109" s="28" t="str">
        <f ca="1">IF($B109="","",IF('Cash Flow of Project'!L109="","",NPV($C$4,OFFSET('Cash Flow of Project'!$D109,0,0,1,L$6))+$C109))</f>
        <v/>
      </c>
      <c r="M109" s="28" t="str">
        <f ca="1">IF($B109="","",IF('Cash Flow of Project'!M109="","",NPV($C$4,OFFSET('Cash Flow of Project'!$D109,0,0,1,M$6))+$C109))</f>
        <v/>
      </c>
    </row>
    <row r="110" spans="2:13" x14ac:dyDescent="0.35">
      <c r="D110" s="28" t="str">
        <f ca="1">IF($B110="","",IF('Cash Flow of Project'!D110="","",NPV($C$4,OFFSET('Cash Flow of Project'!$D110,0,0,1,D$6))+$C110))</f>
        <v/>
      </c>
      <c r="E110" s="28" t="str">
        <f ca="1">IF($B110="","",IF('Cash Flow of Project'!E110="","",NPV($C$4,OFFSET('Cash Flow of Project'!$D110,0,0,1,E$6))+$C110))</f>
        <v/>
      </c>
      <c r="F110" s="28" t="str">
        <f ca="1">IF($B110="","",IF('Cash Flow of Project'!F110="","",NPV($C$4,OFFSET('Cash Flow of Project'!$D110,0,0,1,F$6))+$C110))</f>
        <v/>
      </c>
      <c r="G110" s="28" t="str">
        <f ca="1">IF($B110="","",IF('Cash Flow of Project'!G110="","",NPV($C$4,OFFSET('Cash Flow of Project'!$D110,0,0,1,G$6))+$C110))</f>
        <v/>
      </c>
      <c r="H110" s="28" t="str">
        <f ca="1">IF($B110="","",IF('Cash Flow of Project'!H110="","",NPV($C$4,OFFSET('Cash Flow of Project'!$D110,0,0,1,H$6))+$C110))</f>
        <v/>
      </c>
      <c r="I110" s="28" t="str">
        <f ca="1">IF($B110="","",IF('Cash Flow of Project'!I110="","",NPV($C$4,OFFSET('Cash Flow of Project'!$D110,0,0,1,I$6))+$C110))</f>
        <v/>
      </c>
      <c r="J110" s="28" t="str">
        <f ca="1">IF($B110="","",IF('Cash Flow of Project'!J110="","",NPV($C$4,OFFSET('Cash Flow of Project'!$D110,0,0,1,J$6))+$C110))</f>
        <v/>
      </c>
      <c r="K110" s="28" t="str">
        <f ca="1">IF($B110="","",IF('Cash Flow of Project'!K110="","",NPV($C$4,OFFSET('Cash Flow of Project'!$D110,0,0,1,K$6))+$C110))</f>
        <v/>
      </c>
      <c r="L110" s="28" t="str">
        <f ca="1">IF($B110="","",IF('Cash Flow of Project'!L110="","",NPV($C$4,OFFSET('Cash Flow of Project'!$D110,0,0,1,L$6))+$C110))</f>
        <v/>
      </c>
      <c r="M110" s="28" t="str">
        <f ca="1">IF($B110="","",IF('Cash Flow of Project'!M110="","",NPV($C$4,OFFSET('Cash Flow of Project'!$D110,0,0,1,M$6))+$C110))</f>
        <v/>
      </c>
    </row>
    <row r="111" spans="2:13" x14ac:dyDescent="0.35">
      <c r="D111" s="28" t="str">
        <f ca="1">IF($B111="","",IF('Cash Flow of Project'!D111="","",NPV($C$4,OFFSET('Cash Flow of Project'!$D111,0,0,1,D$6))+$C111))</f>
        <v/>
      </c>
      <c r="E111" s="28" t="str">
        <f ca="1">IF($B111="","",IF('Cash Flow of Project'!E111="","",NPV($C$4,OFFSET('Cash Flow of Project'!$D111,0,0,1,E$6))+$C111))</f>
        <v/>
      </c>
      <c r="F111" s="28" t="str">
        <f ca="1">IF($B111="","",IF('Cash Flow of Project'!F111="","",NPV($C$4,OFFSET('Cash Flow of Project'!$D111,0,0,1,F$6))+$C111))</f>
        <v/>
      </c>
      <c r="G111" s="28" t="str">
        <f ca="1">IF($B111="","",IF('Cash Flow of Project'!G111="","",NPV($C$4,OFFSET('Cash Flow of Project'!$D111,0,0,1,G$6))+$C111))</f>
        <v/>
      </c>
      <c r="H111" s="28" t="str">
        <f ca="1">IF($B111="","",IF('Cash Flow of Project'!H111="","",NPV($C$4,OFFSET('Cash Flow of Project'!$D111,0,0,1,H$6))+$C111))</f>
        <v/>
      </c>
      <c r="I111" s="28" t="str">
        <f ca="1">IF($B111="","",IF('Cash Flow of Project'!I111="","",NPV($C$4,OFFSET('Cash Flow of Project'!$D111,0,0,1,I$6))+$C111))</f>
        <v/>
      </c>
      <c r="J111" s="28" t="str">
        <f ca="1">IF($B111="","",IF('Cash Flow of Project'!J111="","",NPV($C$4,OFFSET('Cash Flow of Project'!$D111,0,0,1,J$6))+$C111))</f>
        <v/>
      </c>
      <c r="K111" s="28" t="str">
        <f ca="1">IF($B111="","",IF('Cash Flow of Project'!K111="","",NPV($C$4,OFFSET('Cash Flow of Project'!$D111,0,0,1,K$6))+$C111))</f>
        <v/>
      </c>
      <c r="L111" s="28" t="str">
        <f ca="1">IF($B111="","",IF('Cash Flow of Project'!L111="","",NPV($C$4,OFFSET('Cash Flow of Project'!$D111,0,0,1,L$6))+$C111))</f>
        <v/>
      </c>
      <c r="M111" s="28" t="str">
        <f ca="1">IF($B111="","",IF('Cash Flow of Project'!M111="","",NPV($C$4,OFFSET('Cash Flow of Project'!$D111,0,0,1,M$6))+$C111))</f>
        <v/>
      </c>
    </row>
    <row r="112" spans="2:13" x14ac:dyDescent="0.35">
      <c r="D112" s="28" t="str">
        <f ca="1">IF($B112="","",IF('Cash Flow of Project'!D112="","",NPV($C$4,OFFSET('Cash Flow of Project'!$D112,0,0,1,D$6))+$C112))</f>
        <v/>
      </c>
      <c r="E112" s="28" t="str">
        <f ca="1">IF($B112="","",IF('Cash Flow of Project'!E112="","",NPV($C$4,OFFSET('Cash Flow of Project'!$D112,0,0,1,E$6))+$C112))</f>
        <v/>
      </c>
      <c r="F112" s="28" t="str">
        <f ca="1">IF($B112="","",IF('Cash Flow of Project'!F112="","",NPV($C$4,OFFSET('Cash Flow of Project'!$D112,0,0,1,F$6))+$C112))</f>
        <v/>
      </c>
      <c r="G112" s="28" t="str">
        <f ca="1">IF($B112="","",IF('Cash Flow of Project'!G112="","",NPV($C$4,OFFSET('Cash Flow of Project'!$D112,0,0,1,G$6))+$C112))</f>
        <v/>
      </c>
      <c r="H112" s="28" t="str">
        <f ca="1">IF($B112="","",IF('Cash Flow of Project'!H112="","",NPV($C$4,OFFSET('Cash Flow of Project'!$D112,0,0,1,H$6))+$C112))</f>
        <v/>
      </c>
      <c r="I112" s="28" t="str">
        <f ca="1">IF($B112="","",IF('Cash Flow of Project'!I112="","",NPV($C$4,OFFSET('Cash Flow of Project'!$D112,0,0,1,I$6))+$C112))</f>
        <v/>
      </c>
      <c r="J112" s="28" t="str">
        <f ca="1">IF($B112="","",IF('Cash Flow of Project'!J112="","",NPV($C$4,OFFSET('Cash Flow of Project'!$D112,0,0,1,J$6))+$C112))</f>
        <v/>
      </c>
      <c r="K112" s="28" t="str">
        <f ca="1">IF($B112="","",IF('Cash Flow of Project'!K112="","",NPV($C$4,OFFSET('Cash Flow of Project'!$D112,0,0,1,K$6))+$C112))</f>
        <v/>
      </c>
      <c r="L112" s="28" t="str">
        <f ca="1">IF($B112="","",IF('Cash Flow of Project'!L112="","",NPV($C$4,OFFSET('Cash Flow of Project'!$D112,0,0,1,L$6))+$C112))</f>
        <v/>
      </c>
      <c r="M112" s="28" t="str">
        <f ca="1">IF($B112="","",IF('Cash Flow of Project'!M112="","",NPV($C$4,OFFSET('Cash Flow of Project'!$D112,0,0,1,M$6))+$C112))</f>
        <v/>
      </c>
    </row>
    <row r="113" spans="4:13" x14ac:dyDescent="0.35">
      <c r="D113" s="28" t="str">
        <f ca="1">IF($B113="","",IF('Cash Flow of Project'!D113="","",NPV($C$4,OFFSET('Cash Flow of Project'!$D113,0,0,1,D$6))+$C113))</f>
        <v/>
      </c>
      <c r="E113" s="28" t="str">
        <f ca="1">IF($B113="","",IF('Cash Flow of Project'!E113="","",NPV($C$4,OFFSET('Cash Flow of Project'!$D113,0,0,1,E$6))+$C113))</f>
        <v/>
      </c>
      <c r="F113" s="28" t="str">
        <f ca="1">IF($B113="","",IF('Cash Flow of Project'!F113="","",NPV($C$4,OFFSET('Cash Flow of Project'!$D113,0,0,1,F$6))+$C113))</f>
        <v/>
      </c>
      <c r="G113" s="28" t="str">
        <f ca="1">IF($B113="","",IF('Cash Flow of Project'!G113="","",NPV($C$4,OFFSET('Cash Flow of Project'!$D113,0,0,1,G$6))+$C113))</f>
        <v/>
      </c>
      <c r="H113" s="28" t="str">
        <f ca="1">IF($B113="","",IF('Cash Flow of Project'!H113="","",NPV($C$4,OFFSET('Cash Flow of Project'!$D113,0,0,1,H$6))+$C113))</f>
        <v/>
      </c>
      <c r="I113" s="28" t="str">
        <f ca="1">IF($B113="","",IF('Cash Flow of Project'!I113="","",NPV($C$4,OFFSET('Cash Flow of Project'!$D113,0,0,1,I$6))+$C113))</f>
        <v/>
      </c>
      <c r="J113" s="28" t="str">
        <f ca="1">IF($B113="","",IF('Cash Flow of Project'!J113="","",NPV($C$4,OFFSET('Cash Flow of Project'!$D113,0,0,1,J$6))+$C113))</f>
        <v/>
      </c>
      <c r="K113" s="28" t="str">
        <f ca="1">IF($B113="","",IF('Cash Flow of Project'!K113="","",NPV($C$4,OFFSET('Cash Flow of Project'!$D113,0,0,1,K$6))+$C113))</f>
        <v/>
      </c>
      <c r="L113" s="28" t="str">
        <f ca="1">IF($B113="","",IF('Cash Flow of Project'!L113="","",NPV($C$4,OFFSET('Cash Flow of Project'!$D113,0,0,1,L$6))+$C113))</f>
        <v/>
      </c>
      <c r="M113" s="28" t="str">
        <f ca="1">IF($B113="","",IF('Cash Flow of Project'!M113="","",NPV($C$4,OFFSET('Cash Flow of Project'!$D113,0,0,1,M$6))+$C113))</f>
        <v/>
      </c>
    </row>
    <row r="114" spans="4:13" x14ac:dyDescent="0.35">
      <c r="D114" s="28" t="str">
        <f ca="1">IF($B114="","",IF('Cash Flow of Project'!D114="","",NPV($C$4,OFFSET('Cash Flow of Project'!$D114,0,0,1,D$6))+$C114))</f>
        <v/>
      </c>
      <c r="E114" s="28" t="str">
        <f ca="1">IF($B114="","",IF('Cash Flow of Project'!E114="","",NPV($C$4,OFFSET('Cash Flow of Project'!$D114,0,0,1,E$6))+$C114))</f>
        <v/>
      </c>
      <c r="F114" s="28" t="str">
        <f ca="1">IF($B114="","",IF('Cash Flow of Project'!F114="","",NPV($C$4,OFFSET('Cash Flow of Project'!$D114,0,0,1,F$6))+$C114))</f>
        <v/>
      </c>
      <c r="G114" s="28" t="str">
        <f ca="1">IF($B114="","",IF('Cash Flow of Project'!G114="","",NPV($C$4,OFFSET('Cash Flow of Project'!$D114,0,0,1,G$6))+$C114))</f>
        <v/>
      </c>
      <c r="H114" s="28" t="str">
        <f ca="1">IF($B114="","",IF('Cash Flow of Project'!H114="","",NPV($C$4,OFFSET('Cash Flow of Project'!$D114,0,0,1,H$6))+$C114))</f>
        <v/>
      </c>
      <c r="I114" s="28" t="str">
        <f ca="1">IF($B114="","",IF('Cash Flow of Project'!I114="","",NPV($C$4,OFFSET('Cash Flow of Project'!$D114,0,0,1,I$6))+$C114))</f>
        <v/>
      </c>
      <c r="J114" s="28" t="str">
        <f ca="1">IF($B114="","",IF('Cash Flow of Project'!J114="","",NPV($C$4,OFFSET('Cash Flow of Project'!$D114,0,0,1,J$6))+$C114))</f>
        <v/>
      </c>
      <c r="K114" s="28" t="str">
        <f ca="1">IF($B114="","",IF('Cash Flow of Project'!K114="","",NPV($C$4,OFFSET('Cash Flow of Project'!$D114,0,0,1,K$6))+$C114))</f>
        <v/>
      </c>
      <c r="L114" s="28" t="str">
        <f ca="1">IF($B114="","",IF('Cash Flow of Project'!L114="","",NPV($C$4,OFFSET('Cash Flow of Project'!$D114,0,0,1,L$6))+$C114))</f>
        <v/>
      </c>
      <c r="M114" s="28" t="str">
        <f ca="1">IF($B114="","",IF('Cash Flow of Project'!M114="","",NPV($C$4,OFFSET('Cash Flow of Project'!$D114,0,0,1,M$6))+$C114))</f>
        <v/>
      </c>
    </row>
    <row r="115" spans="4:13" x14ac:dyDescent="0.35">
      <c r="D115" s="28" t="str">
        <f ca="1">IF($B115="","",IF('Cash Flow of Project'!D115="","",NPV($C$4,OFFSET('Cash Flow of Project'!$D115,0,0,1,D$6))+$C115))</f>
        <v/>
      </c>
      <c r="E115" s="28" t="str">
        <f ca="1">IF($B115="","",IF('Cash Flow of Project'!E115="","",NPV($C$4,OFFSET('Cash Flow of Project'!$D115,0,0,1,E$6))+$C115))</f>
        <v/>
      </c>
      <c r="F115" s="28" t="str">
        <f ca="1">IF($B115="","",IF('Cash Flow of Project'!F115="","",NPV($C$4,OFFSET('Cash Flow of Project'!$D115,0,0,1,F$6))+$C115))</f>
        <v/>
      </c>
      <c r="G115" s="28" t="str">
        <f ca="1">IF($B115="","",IF('Cash Flow of Project'!G115="","",NPV($C$4,OFFSET('Cash Flow of Project'!$D115,0,0,1,G$6))+$C115))</f>
        <v/>
      </c>
      <c r="H115" s="28" t="str">
        <f ca="1">IF($B115="","",IF('Cash Flow of Project'!H115="","",NPV($C$4,OFFSET('Cash Flow of Project'!$D115,0,0,1,H$6))+$C115))</f>
        <v/>
      </c>
      <c r="I115" s="28" t="str">
        <f ca="1">IF($B115="","",IF('Cash Flow of Project'!I115="","",NPV($C$4,OFFSET('Cash Flow of Project'!$D115,0,0,1,I$6))+$C115))</f>
        <v/>
      </c>
      <c r="J115" s="28" t="str">
        <f ca="1">IF($B115="","",IF('Cash Flow of Project'!J115="","",NPV($C$4,OFFSET('Cash Flow of Project'!$D115,0,0,1,J$6))+$C115))</f>
        <v/>
      </c>
      <c r="K115" s="28" t="str">
        <f ca="1">IF($B115="","",IF('Cash Flow of Project'!K115="","",NPV($C$4,OFFSET('Cash Flow of Project'!$D115,0,0,1,K$6))+$C115))</f>
        <v/>
      </c>
      <c r="L115" s="28" t="str">
        <f ca="1">IF($B115="","",IF('Cash Flow of Project'!L115="","",NPV($C$4,OFFSET('Cash Flow of Project'!$D115,0,0,1,L$6))+$C115))</f>
        <v/>
      </c>
      <c r="M115" s="28" t="str">
        <f ca="1">IF($B115="","",IF('Cash Flow of Project'!M115="","",NPV($C$4,OFFSET('Cash Flow of Project'!$D115,0,0,1,M$6))+$C115))</f>
        <v/>
      </c>
    </row>
    <row r="116" spans="4:13" x14ac:dyDescent="0.35">
      <c r="D116" s="28" t="str">
        <f ca="1">IF($B116="","",IF('Cash Flow of Project'!D116="","",NPV($C$4,OFFSET('Cash Flow of Project'!$D116,0,0,1,D$6))+$C116))</f>
        <v/>
      </c>
      <c r="E116" s="28" t="str">
        <f ca="1">IF($B116="","",IF('Cash Flow of Project'!E116="","",NPV($C$4,OFFSET('Cash Flow of Project'!$D116,0,0,1,E$6))+$C116))</f>
        <v/>
      </c>
      <c r="F116" s="28" t="str">
        <f ca="1">IF($B116="","",IF('Cash Flow of Project'!F116="","",NPV($C$4,OFFSET('Cash Flow of Project'!$D116,0,0,1,F$6))+$C116))</f>
        <v/>
      </c>
      <c r="G116" s="28" t="str">
        <f ca="1">IF($B116="","",IF('Cash Flow of Project'!G116="","",NPV($C$4,OFFSET('Cash Flow of Project'!$D116,0,0,1,G$6))+$C116))</f>
        <v/>
      </c>
      <c r="H116" s="28" t="str">
        <f ca="1">IF($B116="","",IF('Cash Flow of Project'!H116="","",NPV($C$4,OFFSET('Cash Flow of Project'!$D116,0,0,1,H$6))+$C116))</f>
        <v/>
      </c>
      <c r="I116" s="28" t="str">
        <f ca="1">IF($B116="","",IF('Cash Flow of Project'!I116="","",NPV($C$4,OFFSET('Cash Flow of Project'!$D116,0,0,1,I$6))+$C116))</f>
        <v/>
      </c>
      <c r="J116" s="28" t="str">
        <f ca="1">IF($B116="","",IF('Cash Flow of Project'!J116="","",NPV($C$4,OFFSET('Cash Flow of Project'!$D116,0,0,1,J$6))+$C116))</f>
        <v/>
      </c>
      <c r="K116" s="28" t="str">
        <f ca="1">IF($B116="","",IF('Cash Flow of Project'!K116="","",NPV($C$4,OFFSET('Cash Flow of Project'!$D116,0,0,1,K$6))+$C116))</f>
        <v/>
      </c>
      <c r="L116" s="28" t="str">
        <f ca="1">IF($B116="","",IF('Cash Flow of Project'!L116="","",NPV($C$4,OFFSET('Cash Flow of Project'!$D116,0,0,1,L$6))+$C116))</f>
        <v/>
      </c>
      <c r="M116" s="28" t="str">
        <f ca="1">IF($B116="","",IF('Cash Flow of Project'!M116="","",NPV($C$4,OFFSET('Cash Flow of Project'!$D116,0,0,1,M$6))+$C116))</f>
        <v/>
      </c>
    </row>
  </sheetData>
  <mergeCells count="2">
    <mergeCell ref="B2:C2"/>
    <mergeCell ref="L4:M4"/>
  </mergeCells>
  <conditionalFormatting sqref="C9:C29 C8:M8 D9:M116">
    <cfRule type="cellIs" dxfId="31" priority="2" operator="lessThan">
      <formula>0</formula>
    </cfRule>
    <cfRule type="cellIs" dxfId="30" priority="3" operator="greaterThan">
      <formula>0</formula>
    </cfRule>
  </conditionalFormatting>
  <conditionalFormatting sqref="B8:B1048576">
    <cfRule type="notContainsBlanks" dxfId="29" priority="1">
      <formula>LEN(TRIM(B8))&gt;0</formula>
    </cfRule>
  </conditionalFormatting>
  <hyperlinks>
    <hyperlink ref="L4:M4" location="'NPV Analysis'!A1" display="Go to NPV Analysis" xr:uid="{FB5F5D66-543E-485D-8DBA-DB083CFE839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FEE1B95-8078-49C0-A399-A089AAAF59C6}">
          <x14:formula1>
            <xm:f>'DATA EX1'!$A$3:$A$28</xm:f>
          </x14:formula1>
          <xm:sqref>C4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DEA48-3010-47C5-A325-0C06E783D72F}">
  <sheetPr codeName="Sheet5"/>
  <dimension ref="B1:N54"/>
  <sheetViews>
    <sheetView showGridLines="0" zoomScale="79" workbookViewId="0">
      <selection activeCell="E22" sqref="E22"/>
    </sheetView>
  </sheetViews>
  <sheetFormatPr defaultRowHeight="14.5" x14ac:dyDescent="0.35"/>
  <cols>
    <col min="2" max="3" width="15.81640625" customWidth="1"/>
    <col min="4" max="4" width="28" bestFit="1" customWidth="1"/>
    <col min="5" max="5" width="10.81640625" bestFit="1" customWidth="1"/>
    <col min="6" max="6" width="9.453125" bestFit="1" customWidth="1"/>
    <col min="8" max="9" width="16" customWidth="1"/>
  </cols>
  <sheetData>
    <row r="1" spans="2:14" ht="15" thickBot="1" x14ac:dyDescent="0.4"/>
    <row r="2" spans="2:14" ht="15" thickBot="1" x14ac:dyDescent="0.4">
      <c r="B2" s="174" t="s">
        <v>20</v>
      </c>
      <c r="C2" s="175"/>
      <c r="D2" s="30"/>
      <c r="H2" s="174" t="s">
        <v>21</v>
      </c>
      <c r="I2" s="177"/>
    </row>
    <row r="3" spans="2:14" x14ac:dyDescent="0.35">
      <c r="C3" s="24"/>
      <c r="D3" s="24"/>
      <c r="K3" s="24"/>
    </row>
    <row r="4" spans="2:14" x14ac:dyDescent="0.35">
      <c r="B4" s="20" t="s">
        <v>15</v>
      </c>
      <c r="C4" s="21">
        <f>'NPV Project'!C4</f>
        <v>0.05</v>
      </c>
      <c r="D4" s="21"/>
      <c r="E4" s="178" t="s">
        <v>31</v>
      </c>
      <c r="F4" s="178"/>
    </row>
    <row r="5" spans="2:14" x14ac:dyDescent="0.35">
      <c r="E5" s="6"/>
    </row>
    <row r="6" spans="2:14" ht="15.5" x14ac:dyDescent="0.35">
      <c r="B6" s="32"/>
      <c r="C6" s="46" t="s">
        <v>8</v>
      </c>
      <c r="D6" s="46" t="s">
        <v>24</v>
      </c>
      <c r="E6" s="46" t="s">
        <v>9</v>
      </c>
      <c r="N6" s="7"/>
    </row>
    <row r="7" spans="2:14" x14ac:dyDescent="0.35">
      <c r="B7" s="2" t="s">
        <v>42</v>
      </c>
      <c r="E7" s="6"/>
    </row>
    <row r="8" spans="2:14" x14ac:dyDescent="0.35">
      <c r="B8" s="124" t="s">
        <v>0</v>
      </c>
      <c r="C8" s="43">
        <f ca="1">IF(B8="","",MAX('NPV Project'!C8:M8))</f>
        <v>8869.3971673924243</v>
      </c>
      <c r="D8" s="23" t="str">
        <f ca="1">IF(B8="","",IF(C8&gt;0,"Yes Accept","No Reject"))</f>
        <v>Yes Accept</v>
      </c>
      <c r="E8" s="29">
        <f ca="1">IF(B8="","",_xlfn.RANK.EQ(C8,C$8:C$20,0))</f>
        <v>4</v>
      </c>
    </row>
    <row r="9" spans="2:14" x14ac:dyDescent="0.35">
      <c r="B9" s="124" t="s">
        <v>1</v>
      </c>
      <c r="C9" s="43">
        <f ca="1">IF(B9="","",MAX('NPV Project'!C9:M9))</f>
        <v>158260.23937772168</v>
      </c>
      <c r="D9" s="23" t="str">
        <f t="shared" ref="D9:D20" ca="1" si="0">IF(B9="","",IF(C9&gt;0,"Yes Accept","No Reject"))</f>
        <v>Yes Accept</v>
      </c>
      <c r="E9" s="29">
        <f t="shared" ref="E9:E19" ca="1" si="1">IF(B9="","",_xlfn.RANK.EQ(C9,C$8:C$20,0))</f>
        <v>2</v>
      </c>
    </row>
    <row r="10" spans="2:14" x14ac:dyDescent="0.35">
      <c r="B10" s="124" t="s">
        <v>2</v>
      </c>
      <c r="C10" s="43">
        <f ca="1">IF(B10="","",MAX('NPV Project'!C10:M10))</f>
        <v>792642.55188525096</v>
      </c>
      <c r="D10" s="23" t="str">
        <f t="shared" ca="1" si="0"/>
        <v>Yes Accept</v>
      </c>
      <c r="E10" s="29">
        <f t="shared" ca="1" si="1"/>
        <v>1</v>
      </c>
    </row>
    <row r="11" spans="2:14" x14ac:dyDescent="0.35">
      <c r="B11" s="124" t="s">
        <v>3</v>
      </c>
      <c r="C11" s="43">
        <f ca="1">IF(B11="","",MAX('NPV Project'!C11:M11))</f>
        <v>5443.4698583696227</v>
      </c>
      <c r="D11" s="23" t="str">
        <f t="shared" ca="1" si="0"/>
        <v>Yes Accept</v>
      </c>
      <c r="E11" s="29">
        <f t="shared" ca="1" si="1"/>
        <v>5</v>
      </c>
    </row>
    <row r="12" spans="2:14" x14ac:dyDescent="0.35">
      <c r="B12" s="124" t="s">
        <v>4</v>
      </c>
      <c r="C12" s="43">
        <f ca="1">IF(B12="","",MAX('NPV Project'!C12:M12))</f>
        <v>1158.0318985656359</v>
      </c>
      <c r="D12" s="23" t="str">
        <f t="shared" ca="1" si="0"/>
        <v>Yes Accept</v>
      </c>
      <c r="E12" s="29">
        <f t="shared" ca="1" si="1"/>
        <v>7</v>
      </c>
    </row>
    <row r="13" spans="2:14" x14ac:dyDescent="0.35">
      <c r="B13" s="124" t="s">
        <v>5</v>
      </c>
      <c r="C13" s="43">
        <f ca="1">IF(B13="","",MAX('NPV Project'!C13:M13))</f>
        <v>93043.373229620251</v>
      </c>
      <c r="D13" s="23" t="str">
        <f t="shared" ca="1" si="0"/>
        <v>Yes Accept</v>
      </c>
      <c r="E13" s="29">
        <f t="shared" ca="1" si="1"/>
        <v>3</v>
      </c>
    </row>
    <row r="14" spans="2:14" x14ac:dyDescent="0.35">
      <c r="B14" s="124" t="s">
        <v>6</v>
      </c>
      <c r="C14" s="43">
        <f ca="1">IF(B14="","",MAX('NPV Project'!C14:M14))</f>
        <v>-10626.217195270874</v>
      </c>
      <c r="D14" s="23" t="str">
        <f t="shared" ca="1" si="0"/>
        <v>No Reject</v>
      </c>
      <c r="E14" s="34">
        <f t="shared" ca="1" si="1"/>
        <v>8</v>
      </c>
    </row>
    <row r="15" spans="2:14" x14ac:dyDescent="0.35">
      <c r="B15" s="122" t="s">
        <v>7</v>
      </c>
      <c r="C15" s="52">
        <f ca="1">IF(B15="","",MAX('NPV Project'!C15:M15))</f>
        <v>-36574.072690977133</v>
      </c>
      <c r="D15" s="53" t="str">
        <f t="shared" ca="1" si="0"/>
        <v>No Reject</v>
      </c>
      <c r="E15" s="34">
        <f t="shared" ca="1" si="1"/>
        <v>9</v>
      </c>
    </row>
    <row r="16" spans="2:14" x14ac:dyDescent="0.35">
      <c r="B16" s="130" t="s">
        <v>85</v>
      </c>
      <c r="C16" s="43">
        <f ca="1">IF(B16="","",MAX('NPV Project'!C16:M16))</f>
        <v>4939.0842210329283</v>
      </c>
      <c r="D16" s="23" t="str">
        <f t="shared" ca="1" si="0"/>
        <v>Yes Accept</v>
      </c>
      <c r="E16" s="29">
        <f t="shared" ca="1" si="1"/>
        <v>6</v>
      </c>
    </row>
    <row r="17" spans="2:9" ht="15" thickBot="1" x14ac:dyDescent="0.4">
      <c r="B17" s="125"/>
      <c r="C17" s="44" t="str">
        <f>IF(B17="","",MAX('NPV Project'!C17:M17))</f>
        <v/>
      </c>
      <c r="D17" s="28" t="str">
        <f t="shared" si="0"/>
        <v/>
      </c>
      <c r="E17" t="str">
        <f t="shared" si="1"/>
        <v/>
      </c>
    </row>
    <row r="18" spans="2:9" ht="15" thickBot="1" x14ac:dyDescent="0.4">
      <c r="B18" s="125"/>
      <c r="C18" s="44" t="str">
        <f>IF(B18="","",MAX('NPV Project'!C18:M18))</f>
        <v/>
      </c>
      <c r="D18" s="28" t="str">
        <f t="shared" si="0"/>
        <v/>
      </c>
      <c r="E18" t="str">
        <f t="shared" si="1"/>
        <v/>
      </c>
      <c r="H18" s="36" t="s">
        <v>29</v>
      </c>
      <c r="I18" s="38">
        <f ca="1">'DATA EX1'!F4+'DATA EX1'!F3</f>
        <v>6.022984494844532E-2</v>
      </c>
    </row>
    <row r="19" spans="2:9" x14ac:dyDescent="0.35">
      <c r="B19" s="125"/>
      <c r="C19" s="44" t="str">
        <f>IF(B19="","",MAX('NPV Project'!C19:M19))</f>
        <v/>
      </c>
      <c r="D19" s="28" t="str">
        <f t="shared" si="0"/>
        <v/>
      </c>
      <c r="E19" t="str">
        <f t="shared" si="1"/>
        <v/>
      </c>
    </row>
    <row r="20" spans="2:9" x14ac:dyDescent="0.35">
      <c r="B20" s="125"/>
      <c r="C20" s="44" t="str">
        <f>IF(B20="","",MAX('NPV Project'!C20:M20))</f>
        <v/>
      </c>
      <c r="D20" s="28" t="str">
        <f t="shared" si="0"/>
        <v/>
      </c>
      <c r="E20" t="str">
        <f>IF(B20="","",_xlfn.RANK.EQ(C20,C$8:C$20,0))</f>
        <v/>
      </c>
    </row>
    <row r="21" spans="2:9" x14ac:dyDescent="0.35">
      <c r="B21" s="132"/>
      <c r="C21" s="45"/>
      <c r="D21" s="30"/>
    </row>
    <row r="22" spans="2:9" x14ac:dyDescent="0.35">
      <c r="B22" s="125"/>
      <c r="C22" s="20"/>
    </row>
    <row r="23" spans="2:9" x14ac:dyDescent="0.35">
      <c r="B23" s="125"/>
      <c r="C23" s="20"/>
    </row>
    <row r="24" spans="2:9" x14ac:dyDescent="0.35">
      <c r="B24" s="125"/>
      <c r="C24" s="20"/>
    </row>
    <row r="25" spans="2:9" x14ac:dyDescent="0.35">
      <c r="B25" s="125"/>
      <c r="C25" s="20"/>
    </row>
    <row r="26" spans="2:9" x14ac:dyDescent="0.35">
      <c r="B26" s="125"/>
      <c r="C26" s="20"/>
    </row>
    <row r="27" spans="2:9" x14ac:dyDescent="0.35">
      <c r="B27" s="125"/>
      <c r="C27" s="20"/>
    </row>
    <row r="28" spans="2:9" x14ac:dyDescent="0.35">
      <c r="B28" s="125"/>
      <c r="C28" s="20"/>
    </row>
    <row r="29" spans="2:9" x14ac:dyDescent="0.35">
      <c r="B29" s="125"/>
      <c r="C29" s="20"/>
    </row>
    <row r="30" spans="2:9" x14ac:dyDescent="0.35">
      <c r="B30" s="125"/>
      <c r="C30" s="20"/>
    </row>
    <row r="31" spans="2:9" x14ac:dyDescent="0.35">
      <c r="B31" s="125"/>
      <c r="C31" s="20"/>
    </row>
    <row r="32" spans="2:9" x14ac:dyDescent="0.35">
      <c r="B32" s="125"/>
      <c r="C32" s="20"/>
    </row>
    <row r="33" spans="2:3" x14ac:dyDescent="0.35">
      <c r="B33" s="125"/>
      <c r="C33" s="20"/>
    </row>
    <row r="34" spans="2:3" x14ac:dyDescent="0.35">
      <c r="B34" s="125"/>
      <c r="C34" s="20"/>
    </row>
    <row r="35" spans="2:3" x14ac:dyDescent="0.35">
      <c r="B35" s="125"/>
      <c r="C35" s="20"/>
    </row>
    <row r="36" spans="2:3" x14ac:dyDescent="0.35">
      <c r="B36" s="125"/>
      <c r="C36" s="20"/>
    </row>
    <row r="37" spans="2:3" x14ac:dyDescent="0.35">
      <c r="B37" s="125"/>
      <c r="C37" s="20"/>
    </row>
    <row r="38" spans="2:3" x14ac:dyDescent="0.35">
      <c r="B38" s="125"/>
      <c r="C38" s="20"/>
    </row>
    <row r="39" spans="2:3" x14ac:dyDescent="0.35">
      <c r="B39" s="125"/>
      <c r="C39" s="20"/>
    </row>
    <row r="40" spans="2:3" x14ac:dyDescent="0.35">
      <c r="B40" s="125"/>
      <c r="C40" s="20"/>
    </row>
    <row r="41" spans="2:3" x14ac:dyDescent="0.35">
      <c r="B41" s="125"/>
      <c r="C41" s="20"/>
    </row>
    <row r="42" spans="2:3" x14ac:dyDescent="0.35">
      <c r="B42" s="125"/>
      <c r="C42" s="20"/>
    </row>
    <row r="43" spans="2:3" x14ac:dyDescent="0.35">
      <c r="B43" s="125"/>
      <c r="C43" s="20"/>
    </row>
    <row r="44" spans="2:3" x14ac:dyDescent="0.35">
      <c r="B44" s="125"/>
      <c r="C44" s="20"/>
    </row>
    <row r="45" spans="2:3" x14ac:dyDescent="0.35">
      <c r="B45" s="125"/>
      <c r="C45" s="20"/>
    </row>
    <row r="46" spans="2:3" x14ac:dyDescent="0.35">
      <c r="B46" s="125"/>
      <c r="C46" s="20"/>
    </row>
    <row r="47" spans="2:3" x14ac:dyDescent="0.35">
      <c r="B47" s="125"/>
      <c r="C47" s="20"/>
    </row>
    <row r="48" spans="2:3" x14ac:dyDescent="0.35">
      <c r="B48" s="125"/>
      <c r="C48" s="20"/>
    </row>
    <row r="49" spans="2:3" x14ac:dyDescent="0.35">
      <c r="B49" s="125"/>
      <c r="C49" s="20"/>
    </row>
    <row r="50" spans="2:3" x14ac:dyDescent="0.35">
      <c r="C50" s="20"/>
    </row>
    <row r="51" spans="2:3" x14ac:dyDescent="0.35">
      <c r="C51" s="20"/>
    </row>
    <row r="52" spans="2:3" x14ac:dyDescent="0.35">
      <c r="C52" s="20"/>
    </row>
    <row r="53" spans="2:3" x14ac:dyDescent="0.35">
      <c r="C53" s="20"/>
    </row>
    <row r="54" spans="2:3" x14ac:dyDescent="0.35">
      <c r="C54" s="20"/>
    </row>
  </sheetData>
  <mergeCells count="3">
    <mergeCell ref="B2:C2"/>
    <mergeCell ref="H2:I2"/>
    <mergeCell ref="E4:F4"/>
  </mergeCells>
  <conditionalFormatting sqref="D18">
    <cfRule type="cellIs" dxfId="28" priority="6" operator="equal">
      <formula>1</formula>
    </cfRule>
  </conditionalFormatting>
  <conditionalFormatting sqref="E8:E20">
    <cfRule type="cellIs" dxfId="27" priority="2" operator="equal">
      <formula>3</formula>
    </cfRule>
    <cfRule type="cellIs" dxfId="26" priority="4" operator="equal">
      <formula>2</formula>
    </cfRule>
    <cfRule type="cellIs" dxfId="25" priority="5" operator="equal">
      <formula>1</formula>
    </cfRule>
  </conditionalFormatting>
  <conditionalFormatting sqref="C8:C100">
    <cfRule type="cellIs" dxfId="24" priority="7" operator="lessThan">
      <formula>0</formula>
    </cfRule>
    <cfRule type="cellIs" dxfId="23" priority="8" operator="greaterThan">
      <formula>0</formula>
    </cfRule>
  </conditionalFormatting>
  <conditionalFormatting sqref="B8:B1048576">
    <cfRule type="notContainsBlanks" dxfId="22" priority="1">
      <formula>LEN(TRIM(B8))&gt;0</formula>
    </cfRule>
  </conditionalFormatting>
  <hyperlinks>
    <hyperlink ref="E4:F4" location="'IRR Analysis'!A1" display="Go to IRR Analysis" xr:uid="{3B5C9304-03ED-46B5-B14E-611720023B9A}"/>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26F80-938D-4019-841B-C779CF9E64C1}">
  <sheetPr codeName="Sheet6"/>
  <dimension ref="B1:AB107"/>
  <sheetViews>
    <sheetView showGridLines="0" zoomScale="81" workbookViewId="0">
      <selection activeCell="I18" sqref="I18"/>
    </sheetView>
  </sheetViews>
  <sheetFormatPr defaultRowHeight="14.5" x14ac:dyDescent="0.35"/>
  <cols>
    <col min="2" max="2" width="13.453125" bestFit="1" customWidth="1"/>
    <col min="3" max="3" width="14.26953125" bestFit="1" customWidth="1"/>
    <col min="4" max="4" width="28" bestFit="1" customWidth="1"/>
    <col min="5" max="5" width="12.81640625" bestFit="1" customWidth="1"/>
    <col min="6" max="6" width="11.1796875" customWidth="1"/>
    <col min="7" max="7" width="12.81640625" bestFit="1" customWidth="1"/>
    <col min="8" max="8" width="18.54296875" customWidth="1"/>
    <col min="9" max="9" width="16.54296875" customWidth="1"/>
    <col min="10" max="10" width="12.7265625" customWidth="1"/>
    <col min="11" max="11" width="12.7265625" bestFit="1" customWidth="1"/>
    <col min="12" max="12" width="13.81640625" bestFit="1" customWidth="1"/>
    <col min="13" max="13" width="18.81640625" bestFit="1" customWidth="1"/>
    <col min="14" max="14" width="12.7265625" bestFit="1" customWidth="1"/>
    <col min="15" max="16" width="12" customWidth="1"/>
    <col min="17" max="17" width="12.1796875" bestFit="1" customWidth="1"/>
    <col min="18" max="18" width="13.81640625" bestFit="1" customWidth="1"/>
    <col min="19" max="19" width="12.453125" customWidth="1"/>
    <col min="20" max="20" width="25.54296875" bestFit="1" customWidth="1"/>
    <col min="21" max="21" width="12.26953125" customWidth="1"/>
    <col min="23" max="23" width="13" customWidth="1"/>
    <col min="26" max="26" width="9.7265625" customWidth="1"/>
    <col min="27" max="28" width="12" customWidth="1"/>
    <col min="29" max="29" width="10.81640625" customWidth="1"/>
  </cols>
  <sheetData>
    <row r="1" spans="2:28" ht="15" thickBot="1" x14ac:dyDescent="0.4">
      <c r="E1" s="57"/>
      <c r="F1" s="58"/>
      <c r="G1" s="58"/>
      <c r="H1" s="58"/>
      <c r="I1" s="58"/>
    </row>
    <row r="2" spans="2:28" ht="15" thickBot="1" x14ac:dyDescent="0.4">
      <c r="B2" s="174" t="s">
        <v>22</v>
      </c>
      <c r="C2" s="175"/>
      <c r="D2" s="47"/>
      <c r="E2" s="58"/>
      <c r="F2" s="58"/>
      <c r="G2" s="58"/>
      <c r="H2" s="58"/>
      <c r="I2" s="58"/>
    </row>
    <row r="3" spans="2:28" x14ac:dyDescent="0.35">
      <c r="C3" s="24"/>
      <c r="D3" s="47"/>
      <c r="E3" s="58"/>
      <c r="F3" s="58"/>
      <c r="G3" s="58"/>
      <c r="H3" s="58"/>
      <c r="I3" s="58"/>
      <c r="N3" s="3"/>
    </row>
    <row r="4" spans="2:28" ht="18.5" x14ac:dyDescent="0.45">
      <c r="B4" s="20" t="s">
        <v>15</v>
      </c>
      <c r="C4" s="21">
        <f>'NPV Project'!C4</f>
        <v>0.05</v>
      </c>
      <c r="D4" s="47"/>
      <c r="E4" s="179" t="s">
        <v>32</v>
      </c>
      <c r="F4" s="179"/>
      <c r="G4" s="58"/>
      <c r="H4" s="58"/>
      <c r="I4" s="58"/>
      <c r="J4" s="181"/>
      <c r="K4" s="182"/>
      <c r="L4" s="182"/>
      <c r="Q4" s="183"/>
      <c r="R4" s="182"/>
      <c r="S4" s="182"/>
    </row>
    <row r="5" spans="2:28" ht="18.5" x14ac:dyDescent="0.45">
      <c r="E5" s="6"/>
      <c r="F5" s="12"/>
      <c r="G5" s="11"/>
      <c r="K5" s="12"/>
      <c r="L5" s="26"/>
      <c r="M5" s="26"/>
      <c r="Q5" s="12"/>
      <c r="R5" s="26"/>
      <c r="S5" s="26"/>
    </row>
    <row r="6" spans="2:28" ht="18.5" x14ac:dyDescent="0.45">
      <c r="B6" s="32"/>
      <c r="C6" s="46" t="s">
        <v>10</v>
      </c>
      <c r="D6" s="46" t="s">
        <v>24</v>
      </c>
      <c r="E6" s="46" t="s">
        <v>9</v>
      </c>
      <c r="F6" s="30"/>
      <c r="G6" s="30"/>
      <c r="K6" s="12"/>
      <c r="L6" s="33"/>
      <c r="M6" s="31"/>
      <c r="N6" s="31"/>
      <c r="R6" s="2"/>
      <c r="S6" s="20"/>
      <c r="T6" s="30"/>
      <c r="U6" s="20"/>
    </row>
    <row r="7" spans="2:28" x14ac:dyDescent="0.35">
      <c r="B7" s="2" t="s">
        <v>42</v>
      </c>
      <c r="E7" s="6"/>
      <c r="F7" s="15"/>
      <c r="M7" s="16"/>
      <c r="S7" s="16"/>
    </row>
    <row r="8" spans="2:28" x14ac:dyDescent="0.35">
      <c r="B8" s="124" t="s">
        <v>0</v>
      </c>
      <c r="C8" s="41">
        <f>IF(B8="","",IRR('Cash Flow of Project'!C8:M8))</f>
        <v>5.6044636451588747E-2</v>
      </c>
      <c r="D8" s="23" t="str">
        <f>IF(B8="","",IF(C8&gt;C$4,"Yes Accepted","No Rejected"))</f>
        <v>Yes Accepted</v>
      </c>
      <c r="E8" s="29">
        <f>IF(B8="","",_xlfn.RANK.EQ(C8,C$8:C$87,0))</f>
        <v>7</v>
      </c>
      <c r="F8" s="15"/>
      <c r="G8" s="180" t="s">
        <v>96</v>
      </c>
      <c r="H8" s="180"/>
      <c r="I8" s="180"/>
      <c r="J8" s="180"/>
      <c r="K8" s="180"/>
      <c r="M8" s="16"/>
      <c r="S8" s="16"/>
    </row>
    <row r="9" spans="2:28" x14ac:dyDescent="0.35">
      <c r="B9" s="124" t="s">
        <v>1</v>
      </c>
      <c r="C9" s="41">
        <f>IF(B9="","",IRR('Cash Flow of Project'!C9:M9))</f>
        <v>8.1441656464365852E-2</v>
      </c>
      <c r="D9" s="23" t="str">
        <f t="shared" ref="D9:D72" si="0">IF(B9="","",IF(C9&gt;C$4,"Yes Accepted","No Rejected"))</f>
        <v>Yes Accepted</v>
      </c>
      <c r="E9" s="29">
        <f t="shared" ref="E9:E72" si="1">IF(B9="","",_xlfn.RANK.EQ(C9,C$8:C$87,0))</f>
        <v>4</v>
      </c>
      <c r="F9" s="15"/>
      <c r="G9" s="180"/>
      <c r="H9" s="180"/>
      <c r="I9" s="180"/>
      <c r="J9" s="180"/>
      <c r="K9" s="180"/>
      <c r="M9" s="16"/>
      <c r="S9" s="16"/>
    </row>
    <row r="10" spans="2:28" x14ac:dyDescent="0.35">
      <c r="B10" s="124" t="s">
        <v>2</v>
      </c>
      <c r="C10" s="41">
        <f>IF(B10="","",IRR('Cash Flow of Project'!C10:M10))</f>
        <v>0.36724391422214619</v>
      </c>
      <c r="D10" s="23" t="str">
        <f t="shared" si="0"/>
        <v>Yes Accepted</v>
      </c>
      <c r="E10" s="29">
        <f t="shared" si="1"/>
        <v>1</v>
      </c>
      <c r="F10" s="15"/>
      <c r="G10" s="180"/>
      <c r="H10" s="180"/>
      <c r="I10" s="180"/>
      <c r="J10" s="180"/>
      <c r="K10" s="180"/>
      <c r="M10" s="16"/>
      <c r="Q10" s="15"/>
      <c r="S10" s="16"/>
    </row>
    <row r="11" spans="2:28" x14ac:dyDescent="0.35">
      <c r="B11" s="124" t="s">
        <v>3</v>
      </c>
      <c r="C11" s="41">
        <f>IF(B11="","",IRR('Cash Flow of Project'!C11:M11))</f>
        <v>0.15098414477083444</v>
      </c>
      <c r="D11" s="23" t="str">
        <f t="shared" si="0"/>
        <v>Yes Accepted</v>
      </c>
      <c r="E11" s="29">
        <f t="shared" si="1"/>
        <v>3</v>
      </c>
      <c r="F11" s="15"/>
      <c r="G11" s="180"/>
      <c r="H11" s="180"/>
      <c r="I11" s="180"/>
      <c r="J11" s="180"/>
      <c r="K11" s="180"/>
      <c r="M11" s="16"/>
      <c r="S11" s="16"/>
    </row>
    <row r="12" spans="2:28" x14ac:dyDescent="0.35">
      <c r="B12" s="124" t="s">
        <v>4</v>
      </c>
      <c r="C12" s="41">
        <f>IF(B12="","",IRR('Cash Flow of Project'!C12:M12))</f>
        <v>6.8764257562081488E-2</v>
      </c>
      <c r="D12" s="23" t="str">
        <f t="shared" si="0"/>
        <v>Yes Accepted</v>
      </c>
      <c r="E12" s="29">
        <f t="shared" si="1"/>
        <v>5</v>
      </c>
      <c r="F12" s="15"/>
      <c r="G12" s="180"/>
      <c r="H12" s="180"/>
      <c r="I12" s="180"/>
      <c r="J12" s="180"/>
      <c r="K12" s="180"/>
      <c r="M12" s="16"/>
      <c r="S12" s="16"/>
    </row>
    <row r="13" spans="2:28" x14ac:dyDescent="0.35">
      <c r="B13" s="124" t="s">
        <v>5</v>
      </c>
      <c r="C13" s="41">
        <f>IF(B13="","",IRR('Cash Flow of Project'!C13:M13))</f>
        <v>0.21406465112703454</v>
      </c>
      <c r="D13" s="23" t="str">
        <f t="shared" si="0"/>
        <v>Yes Accepted</v>
      </c>
      <c r="E13" s="29">
        <f t="shared" si="1"/>
        <v>2</v>
      </c>
      <c r="F13" s="15"/>
      <c r="G13" s="180"/>
      <c r="H13" s="180"/>
      <c r="I13" s="180"/>
      <c r="J13" s="180"/>
      <c r="K13" s="180"/>
      <c r="L13" s="56"/>
      <c r="M13" s="56"/>
      <c r="S13" s="16"/>
    </row>
    <row r="14" spans="2:28" x14ac:dyDescent="0.35">
      <c r="B14" s="124" t="s">
        <v>6</v>
      </c>
      <c r="C14" s="41">
        <f>IF(B14="","",IRR('Cash Flow of Project'!C14:M14))</f>
        <v>4.1153606938065579E-2</v>
      </c>
      <c r="D14" s="23" t="str">
        <f t="shared" si="0"/>
        <v>No Rejected</v>
      </c>
      <c r="E14" s="29">
        <f t="shared" si="1"/>
        <v>8</v>
      </c>
      <c r="F14" s="15"/>
      <c r="G14" s="180"/>
      <c r="H14" s="180"/>
      <c r="I14" s="180"/>
      <c r="J14" s="180"/>
      <c r="K14" s="180"/>
      <c r="L14" s="56"/>
      <c r="M14" s="56"/>
      <c r="S14" s="16"/>
    </row>
    <row r="15" spans="2:28" x14ac:dyDescent="0.35">
      <c r="B15" s="122" t="s">
        <v>7</v>
      </c>
      <c r="C15" s="54">
        <f>IF(B15="","",IRR('Cash Flow of Project'!C15:M15))</f>
        <v>2.6509041706451519E-2</v>
      </c>
      <c r="D15" s="22" t="str">
        <f t="shared" si="0"/>
        <v>No Rejected</v>
      </c>
      <c r="E15" s="34">
        <f t="shared" si="1"/>
        <v>9</v>
      </c>
      <c r="F15" s="15"/>
      <c r="J15" s="56"/>
      <c r="K15" s="56"/>
      <c r="L15" s="56"/>
      <c r="M15" s="56"/>
      <c r="S15" s="16"/>
      <c r="AA15" s="3"/>
      <c r="AB15" s="3"/>
    </row>
    <row r="16" spans="2:28" x14ac:dyDescent="0.35">
      <c r="B16" s="130" t="s">
        <v>85</v>
      </c>
      <c r="C16" s="41">
        <f>IF(B16="","",IRR('Cash Flow of Project'!C16:M16))</f>
        <v>6.2528136878072793E-2</v>
      </c>
      <c r="D16" s="23" t="str">
        <f t="shared" si="0"/>
        <v>Yes Accepted</v>
      </c>
      <c r="E16" s="29">
        <f t="shared" si="1"/>
        <v>6</v>
      </c>
      <c r="F16" s="15"/>
      <c r="J16" s="56"/>
      <c r="K16" s="56"/>
      <c r="L16" s="56"/>
      <c r="M16" s="56"/>
      <c r="S16" s="16"/>
    </row>
    <row r="17" spans="2:27" x14ac:dyDescent="0.35">
      <c r="B17" s="133"/>
      <c r="C17" s="42" t="str">
        <f>IF(B17="","",IRR('Cash Flow of Project'!C17:M17))</f>
        <v/>
      </c>
      <c r="D17" s="28" t="str">
        <f t="shared" si="0"/>
        <v/>
      </c>
      <c r="E17" t="str">
        <f t="shared" si="1"/>
        <v/>
      </c>
      <c r="F17" s="55"/>
      <c r="J17" s="56"/>
      <c r="K17" s="56"/>
      <c r="L17" s="56"/>
      <c r="M17" s="56"/>
      <c r="S17" s="16"/>
    </row>
    <row r="18" spans="2:27" ht="19.5" customHeight="1" x14ac:dyDescent="0.35">
      <c r="B18" s="133"/>
      <c r="C18" s="42" t="str">
        <f>IF(B18="","",IRR('Cash Flow of Project'!C18:M18))</f>
        <v/>
      </c>
      <c r="D18" s="28" t="str">
        <f t="shared" si="0"/>
        <v/>
      </c>
      <c r="E18" t="str">
        <f t="shared" si="1"/>
        <v/>
      </c>
      <c r="F18" s="55"/>
      <c r="J18" s="56"/>
      <c r="K18" s="56"/>
      <c r="L18" s="56"/>
      <c r="M18" s="56"/>
    </row>
    <row r="19" spans="2:27" x14ac:dyDescent="0.35">
      <c r="B19" s="133"/>
      <c r="C19" s="42" t="str">
        <f>IF(B19="","",IRR('Cash Flow of Project'!C19:M19))</f>
        <v/>
      </c>
      <c r="D19" s="28" t="str">
        <f t="shared" si="0"/>
        <v/>
      </c>
      <c r="E19" t="str">
        <f t="shared" si="1"/>
        <v/>
      </c>
      <c r="F19" s="55"/>
    </row>
    <row r="20" spans="2:27" x14ac:dyDescent="0.35">
      <c r="B20" s="133"/>
      <c r="C20" s="42" t="str">
        <f>IF(B20="","",IRR('Cash Flow of Project'!C20:M20))</f>
        <v/>
      </c>
      <c r="D20" s="28" t="str">
        <f t="shared" si="0"/>
        <v/>
      </c>
      <c r="E20" t="str">
        <f t="shared" si="1"/>
        <v/>
      </c>
      <c r="F20" s="55"/>
    </row>
    <row r="21" spans="2:27" x14ac:dyDescent="0.35">
      <c r="B21" s="133"/>
      <c r="C21" s="42" t="str">
        <f>IF(B21="","",IRR('Cash Flow of Project'!C21:M21))</f>
        <v/>
      </c>
      <c r="D21" s="28" t="str">
        <f t="shared" si="0"/>
        <v/>
      </c>
      <c r="E21" t="str">
        <f t="shared" si="1"/>
        <v/>
      </c>
      <c r="F21" s="55"/>
    </row>
    <row r="22" spans="2:27" x14ac:dyDescent="0.35">
      <c r="B22" s="133"/>
      <c r="C22" s="42" t="str">
        <f>IF(B22="","",IRR('Cash Flow of Project'!C22:M22))</f>
        <v/>
      </c>
      <c r="D22" s="28" t="str">
        <f t="shared" si="0"/>
        <v/>
      </c>
      <c r="E22" t="str">
        <f t="shared" si="1"/>
        <v/>
      </c>
      <c r="F22" s="55"/>
      <c r="AA22" s="3"/>
    </row>
    <row r="23" spans="2:27" x14ac:dyDescent="0.35">
      <c r="B23" s="125"/>
      <c r="C23" s="42" t="str">
        <f>IF(B23="","",IRR('Cash Flow of Project'!C23:M23))</f>
        <v/>
      </c>
      <c r="D23" s="28" t="str">
        <f t="shared" si="0"/>
        <v/>
      </c>
      <c r="E23" t="str">
        <f t="shared" si="1"/>
        <v/>
      </c>
    </row>
    <row r="24" spans="2:27" x14ac:dyDescent="0.35">
      <c r="B24" s="125"/>
      <c r="C24" s="42" t="str">
        <f>IF(B24="","",IRR('Cash Flow of Project'!C24:M24))</f>
        <v/>
      </c>
      <c r="D24" s="28" t="str">
        <f t="shared" si="0"/>
        <v/>
      </c>
      <c r="E24" t="str">
        <f t="shared" si="1"/>
        <v/>
      </c>
    </row>
    <row r="25" spans="2:27" x14ac:dyDescent="0.35">
      <c r="B25" s="125"/>
      <c r="C25" s="42" t="str">
        <f>IF(B25="","",IRR('Cash Flow of Project'!C25:M25))</f>
        <v/>
      </c>
      <c r="D25" s="28" t="str">
        <f t="shared" si="0"/>
        <v/>
      </c>
      <c r="E25" t="str">
        <f t="shared" si="1"/>
        <v/>
      </c>
    </row>
    <row r="26" spans="2:27" x14ac:dyDescent="0.35">
      <c r="B26" s="125"/>
      <c r="C26" s="42" t="str">
        <f>IF(B26="","",IRR('Cash Flow of Project'!C26:M26))</f>
        <v/>
      </c>
      <c r="D26" s="28" t="str">
        <f t="shared" si="0"/>
        <v/>
      </c>
      <c r="E26" t="str">
        <f t="shared" si="1"/>
        <v/>
      </c>
    </row>
    <row r="27" spans="2:27" x14ac:dyDescent="0.35">
      <c r="B27" s="125"/>
      <c r="C27" s="42" t="str">
        <f>IF(B27="","",IRR('Cash Flow of Project'!C27:M27))</f>
        <v/>
      </c>
      <c r="D27" s="28" t="str">
        <f t="shared" si="0"/>
        <v/>
      </c>
      <c r="E27" t="str">
        <f t="shared" si="1"/>
        <v/>
      </c>
    </row>
    <row r="28" spans="2:27" x14ac:dyDescent="0.35">
      <c r="B28" s="125"/>
      <c r="C28" s="42" t="str">
        <f>IF(B28="","",IRR('Cash Flow of Project'!C28:M28))</f>
        <v/>
      </c>
      <c r="D28" s="28" t="str">
        <f t="shared" si="0"/>
        <v/>
      </c>
      <c r="E28" t="str">
        <f t="shared" si="1"/>
        <v/>
      </c>
    </row>
    <row r="29" spans="2:27" x14ac:dyDescent="0.35">
      <c r="B29" s="125"/>
      <c r="C29" s="42" t="str">
        <f>IF(B29="","",IRR('Cash Flow of Project'!C29:M29))</f>
        <v/>
      </c>
      <c r="D29" s="28" t="str">
        <f t="shared" si="0"/>
        <v/>
      </c>
      <c r="E29" t="str">
        <f t="shared" si="1"/>
        <v/>
      </c>
    </row>
    <row r="30" spans="2:27" x14ac:dyDescent="0.35">
      <c r="B30" s="125"/>
      <c r="C30" s="42" t="str">
        <f>IF(B30="","",IRR('Cash Flow of Project'!C30:M30))</f>
        <v/>
      </c>
      <c r="D30" s="28" t="str">
        <f t="shared" si="0"/>
        <v/>
      </c>
      <c r="E30" t="str">
        <f t="shared" si="1"/>
        <v/>
      </c>
    </row>
    <row r="31" spans="2:27" x14ac:dyDescent="0.35">
      <c r="B31" s="125"/>
      <c r="C31" s="42" t="str">
        <f>IF(B31="","",IRR('Cash Flow of Project'!C31:M31))</f>
        <v/>
      </c>
      <c r="D31" s="28" t="str">
        <f t="shared" si="0"/>
        <v/>
      </c>
      <c r="E31" t="str">
        <f t="shared" si="1"/>
        <v/>
      </c>
    </row>
    <row r="32" spans="2:27" x14ac:dyDescent="0.35">
      <c r="B32" s="125"/>
      <c r="C32" s="42" t="str">
        <f>IF(B32="","",IRR('Cash Flow of Project'!C32:M32))</f>
        <v/>
      </c>
      <c r="D32" s="28" t="str">
        <f t="shared" si="0"/>
        <v/>
      </c>
      <c r="E32" t="str">
        <f t="shared" si="1"/>
        <v/>
      </c>
    </row>
    <row r="33" spans="2:5" x14ac:dyDescent="0.35">
      <c r="B33" s="125"/>
      <c r="C33" s="42" t="str">
        <f>IF(B33="","",IRR('Cash Flow of Project'!C33:M33))</f>
        <v/>
      </c>
      <c r="D33" s="28" t="str">
        <f t="shared" si="0"/>
        <v/>
      </c>
      <c r="E33" t="str">
        <f t="shared" si="1"/>
        <v/>
      </c>
    </row>
    <row r="34" spans="2:5" x14ac:dyDescent="0.35">
      <c r="B34" s="125"/>
      <c r="C34" s="42" t="str">
        <f>IF(B34="","",IRR('Cash Flow of Project'!C34:M34))</f>
        <v/>
      </c>
      <c r="D34" s="28" t="str">
        <f t="shared" si="0"/>
        <v/>
      </c>
      <c r="E34" t="str">
        <f t="shared" si="1"/>
        <v/>
      </c>
    </row>
    <row r="35" spans="2:5" x14ac:dyDescent="0.35">
      <c r="B35" s="125"/>
      <c r="C35" s="42" t="str">
        <f>IF(B35="","",IRR('Cash Flow of Project'!C35:M35))</f>
        <v/>
      </c>
      <c r="D35" s="28" t="str">
        <f t="shared" si="0"/>
        <v/>
      </c>
      <c r="E35" t="str">
        <f t="shared" si="1"/>
        <v/>
      </c>
    </row>
    <row r="36" spans="2:5" x14ac:dyDescent="0.35">
      <c r="B36" s="125"/>
      <c r="C36" s="42" t="str">
        <f>IF(B36="","",IRR('Cash Flow of Project'!C36:M36))</f>
        <v/>
      </c>
      <c r="D36" s="28" t="str">
        <f t="shared" si="0"/>
        <v/>
      </c>
      <c r="E36" t="str">
        <f t="shared" si="1"/>
        <v/>
      </c>
    </row>
    <row r="37" spans="2:5" x14ac:dyDescent="0.35">
      <c r="B37" s="125"/>
      <c r="C37" s="42" t="str">
        <f>IF(B37="","",IRR('Cash Flow of Project'!C37:M37))</f>
        <v/>
      </c>
      <c r="D37" s="28" t="str">
        <f t="shared" si="0"/>
        <v/>
      </c>
      <c r="E37" t="str">
        <f t="shared" si="1"/>
        <v/>
      </c>
    </row>
    <row r="38" spans="2:5" x14ac:dyDescent="0.35">
      <c r="B38" s="125"/>
      <c r="C38" s="42" t="str">
        <f>IF(B38="","",IRR('Cash Flow of Project'!C38:M38))</f>
        <v/>
      </c>
      <c r="D38" s="28" t="str">
        <f t="shared" si="0"/>
        <v/>
      </c>
      <c r="E38" t="str">
        <f t="shared" si="1"/>
        <v/>
      </c>
    </row>
    <row r="39" spans="2:5" x14ac:dyDescent="0.35">
      <c r="B39" s="125"/>
      <c r="C39" s="42" t="str">
        <f>IF(B39="","",IRR('Cash Flow of Project'!C39:M39))</f>
        <v/>
      </c>
      <c r="D39" s="28" t="str">
        <f t="shared" si="0"/>
        <v/>
      </c>
      <c r="E39" t="str">
        <f t="shared" si="1"/>
        <v/>
      </c>
    </row>
    <row r="40" spans="2:5" x14ac:dyDescent="0.35">
      <c r="B40" s="125"/>
      <c r="C40" s="42" t="str">
        <f>IF(B40="","",IRR('Cash Flow of Project'!C40:M40))</f>
        <v/>
      </c>
      <c r="D40" s="28" t="str">
        <f t="shared" si="0"/>
        <v/>
      </c>
      <c r="E40" t="str">
        <f t="shared" si="1"/>
        <v/>
      </c>
    </row>
    <row r="41" spans="2:5" x14ac:dyDescent="0.35">
      <c r="B41" s="125"/>
      <c r="C41" s="42" t="str">
        <f>IF(B41="","",IRR('Cash Flow of Project'!C41:M41))</f>
        <v/>
      </c>
      <c r="D41" s="28" t="str">
        <f t="shared" si="0"/>
        <v/>
      </c>
      <c r="E41" t="str">
        <f t="shared" si="1"/>
        <v/>
      </c>
    </row>
    <row r="42" spans="2:5" x14ac:dyDescent="0.35">
      <c r="B42" s="125"/>
      <c r="C42" s="42" t="str">
        <f>IF(B42="","",IRR('Cash Flow of Project'!C42:M42))</f>
        <v/>
      </c>
      <c r="D42" s="28" t="str">
        <f t="shared" si="0"/>
        <v/>
      </c>
      <c r="E42" t="str">
        <f t="shared" si="1"/>
        <v/>
      </c>
    </row>
    <row r="43" spans="2:5" x14ac:dyDescent="0.35">
      <c r="B43" s="125"/>
      <c r="C43" s="42" t="str">
        <f>IF(B43="","",IRR('Cash Flow of Project'!C43:M43))</f>
        <v/>
      </c>
      <c r="D43" s="28" t="str">
        <f t="shared" si="0"/>
        <v/>
      </c>
      <c r="E43" t="str">
        <f t="shared" si="1"/>
        <v/>
      </c>
    </row>
    <row r="44" spans="2:5" x14ac:dyDescent="0.35">
      <c r="B44" s="125"/>
      <c r="C44" s="42" t="str">
        <f>IF(B44="","",IRR('Cash Flow of Project'!C44:M44))</f>
        <v/>
      </c>
      <c r="D44" s="28" t="str">
        <f t="shared" si="0"/>
        <v/>
      </c>
      <c r="E44" t="str">
        <f t="shared" si="1"/>
        <v/>
      </c>
    </row>
    <row r="45" spans="2:5" x14ac:dyDescent="0.35">
      <c r="B45" s="125"/>
      <c r="C45" s="42" t="str">
        <f>IF(B45="","",IRR('Cash Flow of Project'!C45:M45))</f>
        <v/>
      </c>
      <c r="D45" s="28" t="str">
        <f t="shared" si="0"/>
        <v/>
      </c>
      <c r="E45" t="str">
        <f t="shared" si="1"/>
        <v/>
      </c>
    </row>
    <row r="46" spans="2:5" x14ac:dyDescent="0.35">
      <c r="B46" s="125"/>
      <c r="C46" s="42" t="str">
        <f>IF(B46="","",IRR('Cash Flow of Project'!C46:M46))</f>
        <v/>
      </c>
      <c r="D46" s="28" t="str">
        <f t="shared" si="0"/>
        <v/>
      </c>
      <c r="E46" t="str">
        <f t="shared" si="1"/>
        <v/>
      </c>
    </row>
    <row r="47" spans="2:5" x14ac:dyDescent="0.35">
      <c r="B47" s="125"/>
      <c r="C47" s="42" t="str">
        <f>IF(B47="","",IRR('Cash Flow of Project'!C47:M47))</f>
        <v/>
      </c>
      <c r="D47" s="28" t="str">
        <f t="shared" si="0"/>
        <v/>
      </c>
      <c r="E47" t="str">
        <f t="shared" si="1"/>
        <v/>
      </c>
    </row>
    <row r="48" spans="2:5" x14ac:dyDescent="0.35">
      <c r="B48" s="125"/>
      <c r="C48" s="42" t="str">
        <f>IF(B48="","",IRR('Cash Flow of Project'!C48:M48))</f>
        <v/>
      </c>
      <c r="D48" s="28" t="str">
        <f t="shared" si="0"/>
        <v/>
      </c>
      <c r="E48" t="str">
        <f t="shared" si="1"/>
        <v/>
      </c>
    </row>
    <row r="49" spans="2:5" x14ac:dyDescent="0.35">
      <c r="B49" s="125"/>
      <c r="C49" s="42" t="str">
        <f>IF(B49="","",IRR('Cash Flow of Project'!C49:M49))</f>
        <v/>
      </c>
      <c r="D49" s="28" t="str">
        <f t="shared" si="0"/>
        <v/>
      </c>
      <c r="E49" t="str">
        <f t="shared" si="1"/>
        <v/>
      </c>
    </row>
    <row r="50" spans="2:5" x14ac:dyDescent="0.35">
      <c r="B50" s="125"/>
      <c r="C50" s="42" t="str">
        <f>IF(B50="","",IRR('Cash Flow of Project'!C50:M50))</f>
        <v/>
      </c>
      <c r="D50" s="28" t="str">
        <f t="shared" si="0"/>
        <v/>
      </c>
      <c r="E50" t="str">
        <f t="shared" si="1"/>
        <v/>
      </c>
    </row>
    <row r="51" spans="2:5" x14ac:dyDescent="0.35">
      <c r="B51" s="125"/>
      <c r="C51" s="42" t="str">
        <f>IF(B51="","",IRR('Cash Flow of Project'!C51:M51))</f>
        <v/>
      </c>
      <c r="D51" s="28" t="str">
        <f t="shared" si="0"/>
        <v/>
      </c>
      <c r="E51" t="str">
        <f t="shared" si="1"/>
        <v/>
      </c>
    </row>
    <row r="52" spans="2:5" x14ac:dyDescent="0.35">
      <c r="B52" s="125"/>
      <c r="C52" s="42" t="str">
        <f>IF(B52="","",IRR('Cash Flow of Project'!C52:M52))</f>
        <v/>
      </c>
      <c r="D52" s="28" t="str">
        <f t="shared" si="0"/>
        <v/>
      </c>
      <c r="E52" t="str">
        <f t="shared" si="1"/>
        <v/>
      </c>
    </row>
    <row r="53" spans="2:5" x14ac:dyDescent="0.35">
      <c r="B53" s="125"/>
      <c r="C53" s="42" t="str">
        <f>IF(B53="","",IRR('Cash Flow of Project'!C53:M53))</f>
        <v/>
      </c>
      <c r="D53" s="28" t="str">
        <f t="shared" si="0"/>
        <v/>
      </c>
      <c r="E53" t="str">
        <f t="shared" si="1"/>
        <v/>
      </c>
    </row>
    <row r="54" spans="2:5" x14ac:dyDescent="0.35">
      <c r="B54" s="125"/>
      <c r="C54" s="42" t="str">
        <f>IF(B54="","",IRR('Cash Flow of Project'!C54:M54))</f>
        <v/>
      </c>
      <c r="D54" s="28" t="str">
        <f t="shared" si="0"/>
        <v/>
      </c>
      <c r="E54" t="str">
        <f t="shared" si="1"/>
        <v/>
      </c>
    </row>
    <row r="55" spans="2:5" x14ac:dyDescent="0.35">
      <c r="B55" s="125"/>
      <c r="C55" s="42" t="str">
        <f>IF(B55="","",IRR('Cash Flow of Project'!C55:M55))</f>
        <v/>
      </c>
      <c r="D55" s="28" t="str">
        <f t="shared" si="0"/>
        <v/>
      </c>
      <c r="E55" t="str">
        <f t="shared" si="1"/>
        <v/>
      </c>
    </row>
    <row r="56" spans="2:5" x14ac:dyDescent="0.35">
      <c r="B56" s="125"/>
      <c r="C56" s="42" t="str">
        <f>IF(B56="","",IRR('Cash Flow of Project'!C56:M56))</f>
        <v/>
      </c>
      <c r="D56" s="28" t="str">
        <f t="shared" si="0"/>
        <v/>
      </c>
      <c r="E56" t="str">
        <f t="shared" si="1"/>
        <v/>
      </c>
    </row>
    <row r="57" spans="2:5" x14ac:dyDescent="0.35">
      <c r="B57" s="125"/>
      <c r="C57" s="42" t="str">
        <f>IF(B57="","",IRR('Cash Flow of Project'!C57:M57))</f>
        <v/>
      </c>
      <c r="D57" s="28" t="str">
        <f t="shared" si="0"/>
        <v/>
      </c>
      <c r="E57" t="str">
        <f t="shared" si="1"/>
        <v/>
      </c>
    </row>
    <row r="58" spans="2:5" x14ac:dyDescent="0.35">
      <c r="B58" s="125"/>
      <c r="C58" s="42" t="str">
        <f>IF(B58="","",IRR('Cash Flow of Project'!C58:M58))</f>
        <v/>
      </c>
      <c r="D58" s="28" t="str">
        <f t="shared" si="0"/>
        <v/>
      </c>
      <c r="E58" t="str">
        <f t="shared" si="1"/>
        <v/>
      </c>
    </row>
    <row r="59" spans="2:5" x14ac:dyDescent="0.35">
      <c r="B59" s="125"/>
      <c r="C59" s="42" t="str">
        <f>IF(B59="","",IRR('Cash Flow of Project'!C59:M59))</f>
        <v/>
      </c>
      <c r="D59" s="28" t="str">
        <f t="shared" si="0"/>
        <v/>
      </c>
      <c r="E59" t="str">
        <f t="shared" si="1"/>
        <v/>
      </c>
    </row>
    <row r="60" spans="2:5" x14ac:dyDescent="0.35">
      <c r="B60" s="125"/>
      <c r="C60" s="42" t="str">
        <f>IF(B60="","",IRR('Cash Flow of Project'!C60:M60))</f>
        <v/>
      </c>
      <c r="D60" s="28" t="str">
        <f t="shared" si="0"/>
        <v/>
      </c>
      <c r="E60" t="str">
        <f t="shared" si="1"/>
        <v/>
      </c>
    </row>
    <row r="61" spans="2:5" x14ac:dyDescent="0.35">
      <c r="B61" s="125"/>
      <c r="C61" s="42" t="str">
        <f>IF(B61="","",IRR('Cash Flow of Project'!C61:M61))</f>
        <v/>
      </c>
      <c r="D61" s="28" t="str">
        <f t="shared" si="0"/>
        <v/>
      </c>
      <c r="E61" t="str">
        <f t="shared" si="1"/>
        <v/>
      </c>
    </row>
    <row r="62" spans="2:5" x14ac:dyDescent="0.35">
      <c r="B62" s="125"/>
      <c r="C62" s="42" t="str">
        <f>IF(B62="","",IRR('Cash Flow of Project'!C62:M62))</f>
        <v/>
      </c>
      <c r="D62" s="28" t="str">
        <f t="shared" si="0"/>
        <v/>
      </c>
      <c r="E62" t="str">
        <f t="shared" si="1"/>
        <v/>
      </c>
    </row>
    <row r="63" spans="2:5" x14ac:dyDescent="0.35">
      <c r="B63" s="125"/>
      <c r="C63" s="42" t="str">
        <f>IF(B63="","",IRR('Cash Flow of Project'!C63:M63))</f>
        <v/>
      </c>
      <c r="D63" s="28" t="str">
        <f t="shared" si="0"/>
        <v/>
      </c>
      <c r="E63" t="str">
        <f t="shared" si="1"/>
        <v/>
      </c>
    </row>
    <row r="64" spans="2:5" x14ac:dyDescent="0.35">
      <c r="B64" s="125"/>
      <c r="C64" s="42" t="str">
        <f>IF(B64="","",IRR('Cash Flow of Project'!C64:M64))</f>
        <v/>
      </c>
      <c r="D64" s="28" t="str">
        <f t="shared" si="0"/>
        <v/>
      </c>
      <c r="E64" t="str">
        <f t="shared" si="1"/>
        <v/>
      </c>
    </row>
    <row r="65" spans="2:5" x14ac:dyDescent="0.35">
      <c r="B65" s="125"/>
      <c r="C65" s="42" t="str">
        <f>IF(B65="","",IRR('Cash Flow of Project'!C65:M65))</f>
        <v/>
      </c>
      <c r="D65" s="28" t="str">
        <f t="shared" si="0"/>
        <v/>
      </c>
      <c r="E65" t="str">
        <f t="shared" si="1"/>
        <v/>
      </c>
    </row>
    <row r="66" spans="2:5" x14ac:dyDescent="0.35">
      <c r="B66" s="125"/>
      <c r="C66" s="42" t="str">
        <f>IF(B66="","",IRR('Cash Flow of Project'!C66:M66))</f>
        <v/>
      </c>
      <c r="D66" s="28" t="str">
        <f t="shared" si="0"/>
        <v/>
      </c>
      <c r="E66" t="str">
        <f t="shared" si="1"/>
        <v/>
      </c>
    </row>
    <row r="67" spans="2:5" x14ac:dyDescent="0.35">
      <c r="B67" s="125"/>
      <c r="C67" s="42" t="str">
        <f>IF(B67="","",IRR('Cash Flow of Project'!C67:M67))</f>
        <v/>
      </c>
      <c r="D67" s="28" t="str">
        <f t="shared" si="0"/>
        <v/>
      </c>
      <c r="E67" t="str">
        <f t="shared" si="1"/>
        <v/>
      </c>
    </row>
    <row r="68" spans="2:5" x14ac:dyDescent="0.35">
      <c r="B68" s="125"/>
      <c r="C68" s="42" t="str">
        <f>IF(B68="","",IRR('Cash Flow of Project'!C68:M68))</f>
        <v/>
      </c>
      <c r="D68" s="28" t="str">
        <f t="shared" si="0"/>
        <v/>
      </c>
      <c r="E68" t="str">
        <f t="shared" si="1"/>
        <v/>
      </c>
    </row>
    <row r="69" spans="2:5" x14ac:dyDescent="0.35">
      <c r="B69" s="125"/>
      <c r="C69" s="42" t="str">
        <f>IF(B69="","",IRR('Cash Flow of Project'!C69:M69))</f>
        <v/>
      </c>
      <c r="D69" s="28" t="str">
        <f t="shared" si="0"/>
        <v/>
      </c>
      <c r="E69" t="str">
        <f t="shared" si="1"/>
        <v/>
      </c>
    </row>
    <row r="70" spans="2:5" x14ac:dyDescent="0.35">
      <c r="B70" s="125"/>
      <c r="C70" s="42" t="str">
        <f>IF(B70="","",IRR('Cash Flow of Project'!C70:M70))</f>
        <v/>
      </c>
      <c r="D70" s="28" t="str">
        <f t="shared" si="0"/>
        <v/>
      </c>
      <c r="E70" t="str">
        <f t="shared" si="1"/>
        <v/>
      </c>
    </row>
    <row r="71" spans="2:5" x14ac:dyDescent="0.35">
      <c r="B71" s="125"/>
      <c r="C71" s="42" t="str">
        <f>IF(B71="","",IRR('Cash Flow of Project'!C71:M71))</f>
        <v/>
      </c>
      <c r="D71" s="28" t="str">
        <f t="shared" si="0"/>
        <v/>
      </c>
      <c r="E71" t="str">
        <f t="shared" si="1"/>
        <v/>
      </c>
    </row>
    <row r="72" spans="2:5" x14ac:dyDescent="0.35">
      <c r="B72" s="125"/>
      <c r="C72" s="42" t="str">
        <f>IF(B72="","",IRR('Cash Flow of Project'!C72:M72))</f>
        <v/>
      </c>
      <c r="D72" s="28" t="str">
        <f t="shared" si="0"/>
        <v/>
      </c>
      <c r="E72" t="str">
        <f t="shared" si="1"/>
        <v/>
      </c>
    </row>
    <row r="73" spans="2:5" x14ac:dyDescent="0.35">
      <c r="B73" s="125"/>
      <c r="C73" s="42" t="str">
        <f>IF(B73="","",IRR('Cash Flow of Project'!C73:M73))</f>
        <v/>
      </c>
      <c r="D73" s="28" t="str">
        <f t="shared" ref="D73:D75" si="2">IF(B73="","",IF(C73&gt;C$4,"Yes Accepted","No Rejected"))</f>
        <v/>
      </c>
      <c r="E73" t="str">
        <f t="shared" ref="E73:E87" si="3">IF(B73="","",_xlfn.RANK.EQ(C73,C$8:C$87,0))</f>
        <v/>
      </c>
    </row>
    <row r="74" spans="2:5" x14ac:dyDescent="0.35">
      <c r="B74" s="125"/>
      <c r="C74" s="42" t="str">
        <f>IF(B74="","",IRR('Cash Flow of Project'!C74:M74))</f>
        <v/>
      </c>
      <c r="D74" s="28" t="str">
        <f t="shared" si="2"/>
        <v/>
      </c>
      <c r="E74" t="str">
        <f t="shared" si="3"/>
        <v/>
      </c>
    </row>
    <row r="75" spans="2:5" x14ac:dyDescent="0.35">
      <c r="B75" s="125"/>
      <c r="C75" s="42" t="str">
        <f>IF(B75="","",IRR('Cash Flow of Project'!C75:M75))</f>
        <v/>
      </c>
      <c r="D75" s="28" t="str">
        <f t="shared" si="2"/>
        <v/>
      </c>
      <c r="E75" t="str">
        <f t="shared" si="3"/>
        <v/>
      </c>
    </row>
    <row r="76" spans="2:5" x14ac:dyDescent="0.35">
      <c r="B76" s="125"/>
      <c r="C76" s="42" t="str">
        <f>IF(B76="","",IRR('Cash Flow of Project'!C76:M76))</f>
        <v/>
      </c>
      <c r="E76" t="str">
        <f t="shared" si="3"/>
        <v/>
      </c>
    </row>
    <row r="77" spans="2:5" x14ac:dyDescent="0.35">
      <c r="B77" s="125"/>
      <c r="C77" s="42" t="str">
        <f>IF(B77="","",IRR('Cash Flow of Project'!C77:M77))</f>
        <v/>
      </c>
      <c r="E77" t="str">
        <f t="shared" si="3"/>
        <v/>
      </c>
    </row>
    <row r="78" spans="2:5" x14ac:dyDescent="0.35">
      <c r="B78" s="125"/>
      <c r="C78" s="42" t="str">
        <f>IF(B78="","",IRR('Cash Flow of Project'!C78:M78))</f>
        <v/>
      </c>
      <c r="E78" t="str">
        <f t="shared" si="3"/>
        <v/>
      </c>
    </row>
    <row r="79" spans="2:5" x14ac:dyDescent="0.35">
      <c r="B79" s="125"/>
      <c r="C79" s="42" t="str">
        <f>IF(B79="","",IRR('Cash Flow of Project'!C79:M79))</f>
        <v/>
      </c>
      <c r="E79" t="str">
        <f t="shared" si="3"/>
        <v/>
      </c>
    </row>
    <row r="80" spans="2:5" x14ac:dyDescent="0.35">
      <c r="B80" s="125"/>
      <c r="C80" s="42" t="str">
        <f>IF(B80="","",IRR('Cash Flow of Project'!C80:M80))</f>
        <v/>
      </c>
      <c r="E80" t="str">
        <f t="shared" si="3"/>
        <v/>
      </c>
    </row>
    <row r="81" spans="2:22" x14ac:dyDescent="0.35">
      <c r="B81" s="125"/>
      <c r="C81" s="42" t="str">
        <f>IF(B81="","",IRR('Cash Flow of Project'!C81:M81))</f>
        <v/>
      </c>
      <c r="E81" t="str">
        <f t="shared" si="3"/>
        <v/>
      </c>
    </row>
    <row r="82" spans="2:22" x14ac:dyDescent="0.35">
      <c r="B82" s="125"/>
      <c r="C82" s="42" t="str">
        <f>IF(B82="","",IRR('Cash Flow of Project'!C82:M82))</f>
        <v/>
      </c>
      <c r="E82" t="str">
        <f t="shared" si="3"/>
        <v/>
      </c>
    </row>
    <row r="83" spans="2:22" x14ac:dyDescent="0.35">
      <c r="B83" s="125"/>
      <c r="C83" s="42" t="str">
        <f>IF(B83="","",IRR('Cash Flow of Project'!C83:M83))</f>
        <v/>
      </c>
      <c r="E83" t="str">
        <f t="shared" si="3"/>
        <v/>
      </c>
    </row>
    <row r="84" spans="2:22" ht="15" thickBot="1" x14ac:dyDescent="0.4">
      <c r="B84" s="125"/>
      <c r="C84" s="42" t="str">
        <f>IF(B84="","",IRR('Cash Flow of Project'!C84:M84))</f>
        <v/>
      </c>
      <c r="E84" t="str">
        <f t="shared" si="3"/>
        <v/>
      </c>
    </row>
    <row r="85" spans="2:22" ht="18.75" customHeight="1" x14ac:dyDescent="0.45">
      <c r="B85" s="134"/>
      <c r="C85" s="135" t="str">
        <f>IF(B85="","",IRR('Cash Flow of Project'!C85:M85))</f>
        <v/>
      </c>
      <c r="D85" s="136"/>
      <c r="E85" t="str">
        <f t="shared" si="3"/>
        <v/>
      </c>
      <c r="F85" s="136"/>
      <c r="G85" s="17"/>
      <c r="H85" s="11"/>
      <c r="I85" s="11"/>
      <c r="J85" s="11"/>
      <c r="O85" s="11"/>
      <c r="P85" s="11"/>
      <c r="R85" s="165" t="s">
        <v>13</v>
      </c>
      <c r="S85" s="166"/>
      <c r="T85" s="166"/>
      <c r="U85" s="166"/>
      <c r="V85" s="167"/>
    </row>
    <row r="86" spans="2:22" x14ac:dyDescent="0.35">
      <c r="B86" s="125"/>
      <c r="C86" s="39" t="str">
        <f>IF(B86="","",IRR('Cash Flow of Project'!C86:M86))</f>
        <v/>
      </c>
      <c r="D86" s="136"/>
      <c r="E86" t="str">
        <f t="shared" si="3"/>
        <v/>
      </c>
      <c r="F86" s="136"/>
      <c r="G86" s="17"/>
      <c r="R86" s="168"/>
      <c r="S86" s="169"/>
      <c r="T86" s="169"/>
      <c r="U86" s="169"/>
      <c r="V86" s="170"/>
    </row>
    <row r="87" spans="2:22" x14ac:dyDescent="0.35">
      <c r="B87" s="125"/>
      <c r="C87" s="39" t="str">
        <f>IF(B87="","",IRR('Cash Flow of Project'!C87:M87))</f>
        <v/>
      </c>
      <c r="D87" s="136"/>
      <c r="E87" t="str">
        <f t="shared" si="3"/>
        <v/>
      </c>
      <c r="F87" s="136"/>
      <c r="G87" s="17"/>
      <c r="R87" s="168"/>
      <c r="S87" s="169"/>
      <c r="T87" s="169"/>
      <c r="U87" s="169"/>
      <c r="V87" s="170"/>
    </row>
    <row r="88" spans="2:22" x14ac:dyDescent="0.35">
      <c r="B88" s="125"/>
      <c r="C88" s="39" t="str">
        <f>IF(B88="","",IRR('Cash Flow of Project'!C88:M88))</f>
        <v/>
      </c>
      <c r="D88" s="136"/>
      <c r="E88" s="136"/>
      <c r="F88" s="136"/>
      <c r="G88" s="17"/>
      <c r="R88" s="168"/>
      <c r="S88" s="169"/>
      <c r="T88" s="169"/>
      <c r="U88" s="169"/>
      <c r="V88" s="170"/>
    </row>
    <row r="89" spans="2:22" x14ac:dyDescent="0.35">
      <c r="B89" s="125"/>
      <c r="C89" s="39" t="str">
        <f>IF(B89="","",IRR('Cash Flow of Project'!C89:M89))</f>
        <v/>
      </c>
      <c r="D89" s="136"/>
      <c r="E89" s="136"/>
      <c r="F89" s="136"/>
      <c r="G89" s="17"/>
      <c r="R89" s="168"/>
      <c r="S89" s="169"/>
      <c r="T89" s="169"/>
      <c r="U89" s="169"/>
      <c r="V89" s="170"/>
    </row>
    <row r="90" spans="2:22" ht="15" thickBot="1" x14ac:dyDescent="0.4">
      <c r="B90" s="125"/>
      <c r="C90" s="39" t="str">
        <f>IF(B90="","",IRR('Cash Flow of Project'!C90:M90))</f>
        <v/>
      </c>
      <c r="D90" s="136"/>
      <c r="E90" s="136"/>
      <c r="F90" s="136"/>
      <c r="G90" s="17"/>
      <c r="R90" s="171"/>
      <c r="S90" s="172"/>
      <c r="T90" s="172"/>
      <c r="U90" s="172"/>
      <c r="V90" s="173"/>
    </row>
    <row r="91" spans="2:22" x14ac:dyDescent="0.35">
      <c r="B91" s="125"/>
      <c r="C91" s="40" t="str">
        <f>IF(B91="","",IRR('Cash Flow of Project'!C91:M91))</f>
        <v/>
      </c>
      <c r="D91" s="17"/>
      <c r="E91" s="17"/>
      <c r="F91" s="17"/>
      <c r="G91" s="17"/>
    </row>
    <row r="92" spans="2:22" x14ac:dyDescent="0.35">
      <c r="B92" s="125"/>
      <c r="C92" s="40" t="str">
        <f>IF(B92="","",IRR('Cash Flow of Project'!C92:M92))</f>
        <v/>
      </c>
      <c r="D92" s="3"/>
      <c r="T92" t="str">
        <f t="shared" ref="T92" ca="1" si="4">IF(B92="","",MAX(IF(S92&lt;&gt;"",S92,OFFSET(B92,0,COUNT(C92:Q92),1,1))))</f>
        <v/>
      </c>
    </row>
    <row r="93" spans="2:22" x14ac:dyDescent="0.35">
      <c r="B93" s="125"/>
      <c r="C93" s="40" t="str">
        <f>IF(B93="","",IRR('Cash Flow of Project'!C93:M93))</f>
        <v/>
      </c>
    </row>
    <row r="94" spans="2:22" ht="18.5" x14ac:dyDescent="0.45">
      <c r="B94" s="134"/>
      <c r="C94" s="40" t="str">
        <f>IF(B94="","",IRR('Cash Flow of Project'!C94:M94))</f>
        <v/>
      </c>
      <c r="D94" s="11"/>
      <c r="E94" s="11"/>
      <c r="F94" s="12"/>
      <c r="H94" s="11"/>
      <c r="I94" s="11"/>
      <c r="J94" s="11"/>
    </row>
    <row r="95" spans="2:22" x14ac:dyDescent="0.35">
      <c r="B95" s="125"/>
      <c r="C95" s="40" t="str">
        <f>IF(B95="","",IRR('Cash Flow of Project'!C95:M95))</f>
        <v/>
      </c>
      <c r="D95" s="15"/>
    </row>
    <row r="96" spans="2:22" x14ac:dyDescent="0.35">
      <c r="B96" s="125"/>
      <c r="C96" s="37"/>
      <c r="D96" s="15"/>
    </row>
    <row r="97" spans="2:4" x14ac:dyDescent="0.35">
      <c r="B97" s="125"/>
      <c r="C97" s="37"/>
      <c r="D97" s="15"/>
    </row>
    <row r="98" spans="2:4" x14ac:dyDescent="0.35">
      <c r="B98" s="125"/>
      <c r="C98" s="37" t="str">
        <f ca="1">IF(B98="","",IRR(OFFSET($K$4,1,MATCH($B89,$K$4:$AE$4,0)-1,11,1)))</f>
        <v/>
      </c>
      <c r="D98" s="15"/>
    </row>
    <row r="99" spans="2:4" x14ac:dyDescent="0.35">
      <c r="B99" s="125"/>
      <c r="C99" s="37" t="str">
        <f ca="1">IF(B99="","",IRR(OFFSET($K$4,1,MATCH($B90,$K$4:$AE$4,0)-1,11,1)))</f>
        <v/>
      </c>
      <c r="D99" s="15"/>
    </row>
    <row r="100" spans="2:4" x14ac:dyDescent="0.35">
      <c r="C100" s="37"/>
    </row>
    <row r="101" spans="2:4" x14ac:dyDescent="0.35">
      <c r="C101" s="37"/>
    </row>
    <row r="102" spans="2:4" x14ac:dyDescent="0.35">
      <c r="C102" s="37"/>
    </row>
    <row r="103" spans="2:4" x14ac:dyDescent="0.35">
      <c r="C103" s="37"/>
    </row>
    <row r="104" spans="2:4" x14ac:dyDescent="0.35">
      <c r="C104" s="37"/>
    </row>
    <row r="105" spans="2:4" x14ac:dyDescent="0.35">
      <c r="C105" s="37"/>
    </row>
    <row r="106" spans="2:4" x14ac:dyDescent="0.35">
      <c r="C106" s="37"/>
    </row>
    <row r="107" spans="2:4" x14ac:dyDescent="0.35">
      <c r="C107" s="37"/>
    </row>
  </sheetData>
  <mergeCells count="6">
    <mergeCell ref="R85:V90"/>
    <mergeCell ref="B2:C2"/>
    <mergeCell ref="E4:F4"/>
    <mergeCell ref="G8:K14"/>
    <mergeCell ref="J4:L4"/>
    <mergeCell ref="Q4:S4"/>
  </mergeCells>
  <conditionalFormatting sqref="L7:L12">
    <cfRule type="notContainsBlanks" dxfId="21" priority="7">
      <formula>LEN(TRIM(L7))&gt;0</formula>
    </cfRule>
  </conditionalFormatting>
  <conditionalFormatting sqref="R7:R17">
    <cfRule type="notContainsBlanks" dxfId="20" priority="6">
      <formula>LEN(TRIM(R7))&gt;0</formula>
    </cfRule>
  </conditionalFormatting>
  <conditionalFormatting sqref="E8:E87">
    <cfRule type="cellIs" dxfId="19" priority="2" operator="equal">
      <formula>3</formula>
    </cfRule>
    <cfRule type="cellIs" dxfId="18" priority="3" operator="equal">
      <formula>2</formula>
    </cfRule>
    <cfRule type="cellIs" dxfId="17" priority="4" operator="equal">
      <formula>1</formula>
    </cfRule>
  </conditionalFormatting>
  <conditionalFormatting sqref="B8:B1048576">
    <cfRule type="notContainsBlanks" dxfId="16" priority="1">
      <formula>LEN(TRIM(B8))&gt;0</formula>
    </cfRule>
  </conditionalFormatting>
  <hyperlinks>
    <hyperlink ref="E4:F4" location="'Payback Analysis'!A1" display="Go to PayBack analysis" xr:uid="{D4031F45-F7BA-4060-B905-C2645BBBDC8D}"/>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2A5AB-C3F0-47BD-A45C-413739FCE372}">
  <sheetPr codeName="Sheet7"/>
  <dimension ref="B1:T88"/>
  <sheetViews>
    <sheetView showGridLines="0" topLeftCell="D1" zoomScale="68" workbookViewId="0">
      <selection activeCell="R18" sqref="R18"/>
    </sheetView>
  </sheetViews>
  <sheetFormatPr defaultRowHeight="14.5" x14ac:dyDescent="0.35"/>
  <cols>
    <col min="2" max="2" width="14.7265625" customWidth="1"/>
    <col min="3" max="3" width="14.54296875" bestFit="1" customWidth="1"/>
    <col min="4" max="4" width="28" bestFit="1" customWidth="1"/>
    <col min="10" max="10" width="15.54296875" customWidth="1"/>
    <col min="11" max="11" width="25.26953125" bestFit="1" customWidth="1"/>
    <col min="12" max="12" width="28" bestFit="1" customWidth="1"/>
    <col min="13" max="13" width="11.7265625" bestFit="1" customWidth="1"/>
    <col min="14" max="14" width="11" customWidth="1"/>
    <col min="15" max="15" width="16.7265625" customWidth="1"/>
  </cols>
  <sheetData>
    <row r="1" spans="2:20" ht="15" thickBot="1" x14ac:dyDescent="0.4"/>
    <row r="2" spans="2:20" ht="15" thickBot="1" x14ac:dyDescent="0.4">
      <c r="B2" s="174" t="s">
        <v>23</v>
      </c>
      <c r="C2" s="175"/>
      <c r="D2" s="30"/>
      <c r="E2" s="144" t="s">
        <v>35</v>
      </c>
      <c r="F2" s="145"/>
      <c r="G2" s="110">
        <v>8</v>
      </c>
      <c r="J2" s="174" t="s">
        <v>38</v>
      </c>
      <c r="K2" s="175"/>
      <c r="L2" s="30"/>
    </row>
    <row r="3" spans="2:20" x14ac:dyDescent="0.35">
      <c r="C3" s="24"/>
      <c r="D3" s="24"/>
      <c r="K3" s="24"/>
      <c r="L3" s="24"/>
    </row>
    <row r="4" spans="2:20" x14ac:dyDescent="0.35">
      <c r="B4" s="20" t="s">
        <v>15</v>
      </c>
      <c r="C4" s="21">
        <f>'NPV Project'!C4</f>
        <v>0.05</v>
      </c>
      <c r="D4" s="21"/>
      <c r="J4" s="20" t="s">
        <v>15</v>
      </c>
      <c r="K4" s="21">
        <f>'NPV Project'!C4</f>
        <v>0.05</v>
      </c>
      <c r="L4" s="21"/>
      <c r="M4" s="184" t="s">
        <v>39</v>
      </c>
      <c r="N4" s="178"/>
    </row>
    <row r="5" spans="2:20" ht="18.5" x14ac:dyDescent="0.45">
      <c r="E5" s="6"/>
      <c r="F5" s="11"/>
      <c r="G5" s="31"/>
      <c r="H5" s="31"/>
      <c r="I5" s="31"/>
      <c r="M5" s="6"/>
    </row>
    <row r="6" spans="2:20" ht="18.5" x14ac:dyDescent="0.45">
      <c r="B6" s="32"/>
      <c r="C6" s="25" t="s">
        <v>33</v>
      </c>
      <c r="D6" s="25" t="s">
        <v>24</v>
      </c>
      <c r="E6" s="25" t="s">
        <v>9</v>
      </c>
      <c r="F6" s="12"/>
      <c r="J6" s="32"/>
      <c r="K6" s="25" t="s">
        <v>34</v>
      </c>
      <c r="L6" s="25" t="s">
        <v>24</v>
      </c>
      <c r="M6" s="25" t="s">
        <v>9</v>
      </c>
    </row>
    <row r="7" spans="2:20" x14ac:dyDescent="0.35">
      <c r="B7" s="2" t="s">
        <v>42</v>
      </c>
      <c r="E7" s="6"/>
      <c r="F7" s="30"/>
      <c r="J7" s="2" t="s">
        <v>42</v>
      </c>
      <c r="M7" s="6"/>
    </row>
    <row r="8" spans="2:20" x14ac:dyDescent="0.35">
      <c r="B8" s="124" t="s">
        <v>0</v>
      </c>
      <c r="C8" s="48">
        <f ca="1">IF('Payback Analysis'!B8="","",IF('DATA EX1'!AC4=10,"The Project is not paid back",'DATA EX1'!AC4+'DATA EX1'!AD4))</f>
        <v>7.5</v>
      </c>
      <c r="D8" s="23" t="str">
        <f ca="1">IF(B8="","",IF(C8&gt;G$2,"Project Rejected","Project Accepted"))</f>
        <v>Project Accepted</v>
      </c>
      <c r="E8" s="29">
        <f ca="1">IF(B8="","",IF(C8="The Project is not paid back"," Not Ranked",_xlfn.RANK.EQ(C8,C$8:C$39,1)))</f>
        <v>7</v>
      </c>
      <c r="F8" s="15"/>
      <c r="J8" s="124" t="s">
        <v>0</v>
      </c>
      <c r="K8" s="14">
        <f ca="1">IF(J8="","",IF('DATA EX1'!M3=10,"The Project is not paid back",'DATA EX1'!M3+'DATA EX1'!N3))</f>
        <v>9.638817165281985</v>
      </c>
      <c r="L8" s="23" t="str">
        <f ca="1">IF(J8="","",IF(K8&gt;G$2,"Project Rejected","Project Accepted"))</f>
        <v>Project Rejected</v>
      </c>
      <c r="M8" s="29">
        <f ca="1">IF(J8="","",IF(K8="The Project is not paid back"," Not Ranked",_xlfn.RANK.EQ(K8,K$8:K$39,1)))</f>
        <v>7</v>
      </c>
      <c r="O8" s="180" t="s">
        <v>97</v>
      </c>
      <c r="P8" s="180"/>
      <c r="Q8" s="180"/>
      <c r="R8" s="180"/>
      <c r="S8" s="180"/>
      <c r="T8" s="180"/>
    </row>
    <row r="9" spans="2:20" x14ac:dyDescent="0.35">
      <c r="B9" s="124" t="s">
        <v>1</v>
      </c>
      <c r="C9" s="48">
        <f ca="1">IF('Payback Analysis'!B9="","",IF('DATA EX1'!AC5=10,"The Project is not paid back",'DATA EX1'!AC5+'DATA EX1'!AD5))</f>
        <v>6.666666666666667</v>
      </c>
      <c r="D9" s="23" t="str">
        <f t="shared" ref="D9:D55" ca="1" si="0">IF(B9="","",IF(C9&gt;G$2,"Project Rejected","Project Accepted"))</f>
        <v>Project Accepted</v>
      </c>
      <c r="E9" s="29">
        <f t="shared" ref="E9:E55" ca="1" si="1">IF(B9="","",IF(C9="The Project is not paid back"," Not Ranked",_xlfn.RANK.EQ(C9,C$8:C$39,1)))</f>
        <v>5</v>
      </c>
      <c r="F9" s="15"/>
      <c r="J9" s="124" t="s">
        <v>1</v>
      </c>
      <c r="K9" s="14">
        <f ca="1">IF(J9="","",IF('DATA EX1'!M4=10,"The Project is not paid back",'DATA EX1'!M4+'DATA EX1'!N4))</f>
        <v>8.3156237869531271</v>
      </c>
      <c r="L9" s="23" t="str">
        <f t="shared" ref="L9:L38" ca="1" si="2">IF(J9="","",IF(K9&gt;G$2,"Project Rejected","Project Accepted"))</f>
        <v>Project Rejected</v>
      </c>
      <c r="M9" s="29">
        <f t="shared" ref="M9:M72" ca="1" si="3">IF(J9="","",IF(K9="The Project is not paid back"," Not Ranked",_xlfn.RANK.EQ(K9,K$8:K$39,1)))</f>
        <v>5</v>
      </c>
      <c r="O9" s="180"/>
      <c r="P9" s="180"/>
      <c r="Q9" s="180"/>
      <c r="R9" s="180"/>
      <c r="S9" s="180"/>
      <c r="T9" s="180"/>
    </row>
    <row r="10" spans="2:20" x14ac:dyDescent="0.35">
      <c r="B10" s="124" t="s">
        <v>2</v>
      </c>
      <c r="C10" s="48">
        <f ca="1">IF('Payback Analysis'!B10="","",IF('DATA EX1'!AC6=10,"The Project is not paid back",'DATA EX1'!AC6+'DATA EX1'!AD6))</f>
        <v>2.5</v>
      </c>
      <c r="D10" s="23" t="str">
        <f t="shared" ca="1" si="0"/>
        <v>Project Accepted</v>
      </c>
      <c r="E10" s="29">
        <f t="shared" ca="1" si="1"/>
        <v>1</v>
      </c>
      <c r="F10" s="15"/>
      <c r="J10" s="124" t="s">
        <v>2</v>
      </c>
      <c r="K10" s="14">
        <f ca="1">IF(J10="","",IF('DATA EX1'!M5=10,"The Project is not paid back",'DATA EX1'!M5+'DATA EX1'!N5))</f>
        <v>2.7415624999999997</v>
      </c>
      <c r="L10" s="23" t="str">
        <f t="shared" ca="1" si="2"/>
        <v>Project Accepted</v>
      </c>
      <c r="M10" s="29">
        <f t="shared" ca="1" si="3"/>
        <v>1</v>
      </c>
      <c r="O10" s="180"/>
      <c r="P10" s="180"/>
      <c r="Q10" s="180"/>
      <c r="R10" s="180"/>
      <c r="S10" s="180"/>
      <c r="T10" s="180"/>
    </row>
    <row r="11" spans="2:20" x14ac:dyDescent="0.35">
      <c r="B11" s="124" t="s">
        <v>3</v>
      </c>
      <c r="C11" s="48">
        <f ca="1">IF('Payback Analysis'!B11="","",IF('DATA EX1'!AC7=10,"The Project is not paid back",'DATA EX1'!AC7+'DATA EX1'!AD7))</f>
        <v>5</v>
      </c>
      <c r="D11" s="23" t="str">
        <f t="shared" ca="1" si="0"/>
        <v>Project Accepted</v>
      </c>
      <c r="E11" s="29">
        <f t="shared" ca="1" si="1"/>
        <v>3</v>
      </c>
      <c r="F11" s="15"/>
      <c r="J11" s="124" t="s">
        <v>3</v>
      </c>
      <c r="K11" s="14">
        <f ca="1">IF(J11="","",IF('DATA EX1'!M6=10,"The Project is not paid back",'DATA EX1'!M6+'DATA EX1'!N6))</f>
        <v>5.8985653906250004</v>
      </c>
      <c r="L11" s="23" t="str">
        <f t="shared" ca="1" si="2"/>
        <v>Project Accepted</v>
      </c>
      <c r="M11" s="29">
        <f t="shared" ca="1" si="3"/>
        <v>3</v>
      </c>
      <c r="O11" s="180"/>
      <c r="P11" s="180"/>
      <c r="Q11" s="180"/>
      <c r="R11" s="180"/>
      <c r="S11" s="180"/>
      <c r="T11" s="180"/>
    </row>
    <row r="12" spans="2:20" x14ac:dyDescent="0.35">
      <c r="B12" s="124" t="s">
        <v>4</v>
      </c>
      <c r="C12" s="48">
        <f ca="1">IF('Payback Analysis'!B12="","",IF('DATA EX1'!AC8=10,"The Project is not paid back",'DATA EX1'!AC8+'DATA EX1'!AD8))</f>
        <v>6</v>
      </c>
      <c r="D12" s="23" t="str">
        <f t="shared" ca="1" si="0"/>
        <v>Project Accepted</v>
      </c>
      <c r="E12" s="29">
        <f t="shared" ca="1" si="1"/>
        <v>4</v>
      </c>
      <c r="F12" s="15"/>
      <c r="J12" s="124" t="s">
        <v>4</v>
      </c>
      <c r="K12" s="14">
        <f ca="1">IF(J12="","",IF('DATA EX1'!M7=10,"The Project is not paid back",'DATA EX1'!M7+'DATA EX1'!N7))</f>
        <v>7.3156237869531271</v>
      </c>
      <c r="L12" s="23" t="str">
        <f t="shared" ca="1" si="2"/>
        <v>Project Accepted</v>
      </c>
      <c r="M12" s="29">
        <f t="shared" ca="1" si="3"/>
        <v>4</v>
      </c>
      <c r="O12" s="180"/>
      <c r="P12" s="180"/>
      <c r="Q12" s="180"/>
      <c r="R12" s="180"/>
      <c r="S12" s="180"/>
      <c r="T12" s="180"/>
    </row>
    <row r="13" spans="2:20" x14ac:dyDescent="0.35">
      <c r="B13" s="124" t="s">
        <v>5</v>
      </c>
      <c r="C13" s="48">
        <f ca="1">IF('Payback Analysis'!B13="","",IF('DATA EX1'!AC9=10,"The Project is not paid back",'DATA EX1'!AC9+'DATA EX1'!AD9))</f>
        <v>4</v>
      </c>
      <c r="D13" s="23" t="str">
        <f t="shared" ca="1" si="0"/>
        <v>Project Accepted</v>
      </c>
      <c r="E13" s="29">
        <f t="shared" ca="1" si="1"/>
        <v>2</v>
      </c>
      <c r="F13" s="15"/>
      <c r="J13" s="124" t="s">
        <v>5</v>
      </c>
      <c r="K13" s="14">
        <f ca="1">IF(J13="","",IF('DATA EX1'!M8=10,"The Project is not paid back",'DATA EX1'!M8+'DATA EX1'!N8))</f>
        <v>4.5794949999999996</v>
      </c>
      <c r="L13" s="23" t="str">
        <f t="shared" ca="1" si="2"/>
        <v>Project Accepted</v>
      </c>
      <c r="M13" s="29">
        <f t="shared" ca="1" si="3"/>
        <v>2</v>
      </c>
      <c r="O13" s="180"/>
      <c r="P13" s="180"/>
      <c r="Q13" s="180"/>
      <c r="R13" s="180"/>
      <c r="S13" s="180"/>
      <c r="T13" s="180"/>
    </row>
    <row r="14" spans="2:20" x14ac:dyDescent="0.35">
      <c r="B14" s="124" t="s">
        <v>6</v>
      </c>
      <c r="C14" s="48">
        <f ca="1">IF('Payback Analysis'!B14="","",IF('DATA EX1'!AC10=10,"The Project is not paid back",'DATA EX1'!AC10+'DATA EX1'!AD10))</f>
        <v>8.064516129032258</v>
      </c>
      <c r="D14" s="23" t="str">
        <f t="shared" ca="1" si="0"/>
        <v>Project Rejected</v>
      </c>
      <c r="E14" s="29">
        <f t="shared" ca="1" si="1"/>
        <v>8</v>
      </c>
      <c r="F14" s="15"/>
      <c r="J14" s="124" t="s">
        <v>6</v>
      </c>
      <c r="K14" s="14" t="str">
        <f ca="1">IF(J14="","",IF('DATA EX1'!M9=10,"The Project is not paid back",'DATA EX1'!M9+'DATA EX1'!N9))</f>
        <v>The Project is not paid back</v>
      </c>
      <c r="L14" s="23" t="str">
        <f t="shared" ca="1" si="2"/>
        <v>Project Rejected</v>
      </c>
      <c r="M14" s="29" t="str">
        <f t="shared" ca="1" si="3"/>
        <v xml:space="preserve"> Not Ranked</v>
      </c>
      <c r="O14" s="180"/>
      <c r="P14" s="180"/>
      <c r="Q14" s="180"/>
      <c r="R14" s="180"/>
      <c r="S14" s="180"/>
      <c r="T14" s="180"/>
    </row>
    <row r="15" spans="2:20" x14ac:dyDescent="0.35">
      <c r="B15" s="122" t="s">
        <v>7</v>
      </c>
      <c r="C15" s="49">
        <f ca="1">IF('Payback Analysis'!B15="","",IF('DATA EX1'!AC11=10,"The Project is not paid back",'DATA EX1'!AC11+'DATA EX1'!AD11))</f>
        <v>8.6842105263157894</v>
      </c>
      <c r="D15" s="22" t="str">
        <f t="shared" ca="1" si="0"/>
        <v>Project Rejected</v>
      </c>
      <c r="E15" s="34">
        <f t="shared" ca="1" si="1"/>
        <v>9</v>
      </c>
      <c r="F15" s="15"/>
      <c r="J15" s="122" t="s">
        <v>7</v>
      </c>
      <c r="K15" s="13" t="str">
        <f ca="1">IF(J15="","",IF('DATA EX1'!M10=10,"The Project is not paid back",'DATA EX1'!M10+'DATA EX1'!N10))</f>
        <v>The Project is not paid back</v>
      </c>
      <c r="L15" s="22" t="str">
        <f t="shared" ca="1" si="2"/>
        <v>Project Rejected</v>
      </c>
      <c r="M15" s="34" t="str">
        <f t="shared" ca="1" si="3"/>
        <v xml:space="preserve"> Not Ranked</v>
      </c>
    </row>
    <row r="16" spans="2:20" x14ac:dyDescent="0.35">
      <c r="B16" s="130" t="s">
        <v>85</v>
      </c>
      <c r="C16" s="48">
        <f ca="1">IF('Payback Analysis'!B16="","",IF('DATA EX1'!AC12=10,"The Project is not paid back",'DATA EX1'!AC12+'DATA EX1'!AD12))</f>
        <v>7.2727272727272725</v>
      </c>
      <c r="D16" s="23" t="str">
        <f t="shared" ca="1" si="0"/>
        <v>Project Accepted</v>
      </c>
      <c r="E16" s="29">
        <f t="shared" ca="1" si="1"/>
        <v>6</v>
      </c>
      <c r="J16" s="130" t="s">
        <v>85</v>
      </c>
      <c r="K16" s="14">
        <f ca="1">IF(J16="","",IF('DATA EX1'!M11=10,"The Project is not paid back",'DATA EX1'!M11+'DATA EX1'!N11))</f>
        <v>9.2686138410143837</v>
      </c>
      <c r="L16" s="23" t="str">
        <f t="shared" ca="1" si="2"/>
        <v>Project Rejected</v>
      </c>
      <c r="M16" s="29">
        <f t="shared" ca="1" si="3"/>
        <v>6</v>
      </c>
    </row>
    <row r="17" spans="2:13" x14ac:dyDescent="0.35">
      <c r="B17" s="125"/>
      <c r="C17" s="50" t="str">
        <f>IF('Payback Analysis'!B17="","",IF('DATA EX1'!AC13=10,"The Project is not paid back",'DATA EX1'!AC13+'DATA EX1'!AD13))</f>
        <v/>
      </c>
      <c r="D17" s="28" t="str">
        <f t="shared" si="0"/>
        <v/>
      </c>
      <c r="E17" t="str">
        <f t="shared" si="1"/>
        <v/>
      </c>
      <c r="J17" s="125"/>
      <c r="K17" s="16" t="str">
        <f>IF(J17="","",IF('DATA EX1'!M12=10,"The Project is not paid back",'DATA EX1'!M12+'DATA EX1'!N12))</f>
        <v/>
      </c>
      <c r="L17" s="28" t="str">
        <f t="shared" si="2"/>
        <v/>
      </c>
      <c r="M17" t="str">
        <f t="shared" si="3"/>
        <v/>
      </c>
    </row>
    <row r="18" spans="2:13" x14ac:dyDescent="0.35">
      <c r="B18" s="125"/>
      <c r="C18" s="50" t="str">
        <f>IF('Payback Analysis'!B18="","",IF('DATA EX1'!AC14=10,"The Project is not paid back",'DATA EX1'!AC14+'DATA EX1'!AD14))</f>
        <v/>
      </c>
      <c r="D18" s="28" t="str">
        <f t="shared" si="0"/>
        <v/>
      </c>
      <c r="E18" t="str">
        <f t="shared" si="1"/>
        <v/>
      </c>
      <c r="J18" s="125"/>
      <c r="K18" s="16" t="str">
        <f>IF(J18="","",IF('DATA EX1'!M13=10,"The Project is not paid back",'DATA EX1'!M13+'DATA EX1'!N13))</f>
        <v/>
      </c>
      <c r="L18" s="28" t="str">
        <f t="shared" si="2"/>
        <v/>
      </c>
      <c r="M18" t="str">
        <f t="shared" si="3"/>
        <v/>
      </c>
    </row>
    <row r="19" spans="2:13" x14ac:dyDescent="0.35">
      <c r="B19" s="125"/>
      <c r="C19" s="50" t="str">
        <f>IF('Payback Analysis'!B19="","",IF('DATA EX1'!AC15=10,"The Project is not paid back",'DATA EX1'!AC15+'DATA EX1'!AD15))</f>
        <v/>
      </c>
      <c r="D19" s="28" t="str">
        <f t="shared" si="0"/>
        <v/>
      </c>
      <c r="E19" t="str">
        <f t="shared" si="1"/>
        <v/>
      </c>
      <c r="J19" s="125"/>
      <c r="K19" s="16" t="str">
        <f>IF(J19="","",IF('DATA EX1'!M14=10,"The Project is not paid back",'DATA EX1'!M14+'DATA EX1'!N14))</f>
        <v/>
      </c>
      <c r="L19" s="28" t="str">
        <f t="shared" si="2"/>
        <v/>
      </c>
      <c r="M19" t="str">
        <f t="shared" si="3"/>
        <v/>
      </c>
    </row>
    <row r="20" spans="2:13" x14ac:dyDescent="0.35">
      <c r="B20" s="125"/>
      <c r="C20" s="50" t="str">
        <f>IF('Payback Analysis'!B20="","",IF('DATA EX1'!AC16=10,"The Project is not paid back",'DATA EX1'!AC16+'DATA EX1'!AD16))</f>
        <v/>
      </c>
      <c r="D20" s="28" t="str">
        <f t="shared" si="0"/>
        <v/>
      </c>
      <c r="E20" t="str">
        <f t="shared" si="1"/>
        <v/>
      </c>
      <c r="J20" s="125"/>
      <c r="K20" s="16" t="str">
        <f>IF(J20="","",IF('DATA EX1'!M15=10,"The Project is not paid back",'DATA EX1'!M15+'DATA EX1'!N15))</f>
        <v/>
      </c>
      <c r="L20" s="28" t="str">
        <f t="shared" si="2"/>
        <v/>
      </c>
      <c r="M20" t="str">
        <f t="shared" si="3"/>
        <v/>
      </c>
    </row>
    <row r="21" spans="2:13" x14ac:dyDescent="0.35">
      <c r="B21" s="125"/>
      <c r="C21" s="50" t="str">
        <f>IF('Payback Analysis'!B21="","",IF('DATA EX1'!AC17=10,"The Project is not paid back",'DATA EX1'!AC17+'DATA EX1'!AD17))</f>
        <v/>
      </c>
      <c r="D21" s="28" t="str">
        <f t="shared" si="0"/>
        <v/>
      </c>
      <c r="E21" t="str">
        <f t="shared" si="1"/>
        <v/>
      </c>
      <c r="J21" s="125"/>
      <c r="K21" s="16" t="str">
        <f>IF(J21="","",IF('DATA EX1'!M16=10,"The Project is not paid back",'DATA EX1'!M16+'DATA EX1'!N16))</f>
        <v/>
      </c>
      <c r="L21" s="28" t="str">
        <f t="shared" si="2"/>
        <v/>
      </c>
      <c r="M21" t="str">
        <f t="shared" si="3"/>
        <v/>
      </c>
    </row>
    <row r="22" spans="2:13" x14ac:dyDescent="0.35">
      <c r="B22" s="125"/>
      <c r="C22" s="50" t="str">
        <f>IF('Payback Analysis'!B22="","",IF('DATA EX1'!AC18=10,"The Project is not paid back",'DATA EX1'!AC18+'DATA EX1'!AD18))</f>
        <v/>
      </c>
      <c r="D22" s="28" t="str">
        <f t="shared" si="0"/>
        <v/>
      </c>
      <c r="E22" t="str">
        <f t="shared" si="1"/>
        <v/>
      </c>
      <c r="J22" s="125"/>
      <c r="K22" s="16" t="str">
        <f>IF(J22="","",IF('DATA EX1'!M17=10,"The Project is not paid back",'DATA EX1'!M17+'DATA EX1'!N17))</f>
        <v/>
      </c>
      <c r="L22" s="28" t="str">
        <f t="shared" si="2"/>
        <v/>
      </c>
      <c r="M22" t="str">
        <f t="shared" si="3"/>
        <v/>
      </c>
    </row>
    <row r="23" spans="2:13" x14ac:dyDescent="0.35">
      <c r="B23" s="125"/>
      <c r="C23" s="50" t="str">
        <f>IF('Payback Analysis'!B23="","",IF('DATA EX1'!AC19=10,"The Project is not paid back",'DATA EX1'!AC19+'DATA EX1'!AD19))</f>
        <v/>
      </c>
      <c r="D23" s="28" t="str">
        <f t="shared" si="0"/>
        <v/>
      </c>
      <c r="E23" t="str">
        <f t="shared" si="1"/>
        <v/>
      </c>
      <c r="J23" s="125"/>
      <c r="K23" s="16" t="str">
        <f>IF(J23="","",IF('DATA EX1'!M18=10,"The Project is not paid back",'DATA EX1'!M18+'DATA EX1'!N18))</f>
        <v/>
      </c>
      <c r="L23" s="28" t="str">
        <f t="shared" si="2"/>
        <v/>
      </c>
      <c r="M23" t="str">
        <f t="shared" si="3"/>
        <v/>
      </c>
    </row>
    <row r="24" spans="2:13" x14ac:dyDescent="0.35">
      <c r="B24" s="125"/>
      <c r="C24" s="50" t="str">
        <f>IF('Payback Analysis'!B24="","",IF('DATA EX1'!AC20=10,"The Project is not paid back",'DATA EX1'!AC20+'DATA EX1'!AD20))</f>
        <v/>
      </c>
      <c r="D24" s="28" t="str">
        <f t="shared" si="0"/>
        <v/>
      </c>
      <c r="E24" t="str">
        <f t="shared" si="1"/>
        <v/>
      </c>
      <c r="J24" s="125"/>
      <c r="K24" s="16" t="str">
        <f>IF(J24="","",IF('DATA EX1'!M19=10,"The Project is not paid back",'DATA EX1'!M19+'DATA EX1'!N19))</f>
        <v/>
      </c>
      <c r="L24" s="28" t="str">
        <f t="shared" si="2"/>
        <v/>
      </c>
      <c r="M24" t="str">
        <f t="shared" si="3"/>
        <v/>
      </c>
    </row>
    <row r="25" spans="2:13" x14ac:dyDescent="0.35">
      <c r="B25" s="125"/>
      <c r="C25" s="50" t="str">
        <f>IF('Payback Analysis'!B25="","",IF('DATA EX1'!AC21=10,"The Project is not paid back",'DATA EX1'!AC21+'DATA EX1'!AD21))</f>
        <v/>
      </c>
      <c r="D25" s="28" t="str">
        <f t="shared" si="0"/>
        <v/>
      </c>
      <c r="E25" t="str">
        <f t="shared" si="1"/>
        <v/>
      </c>
      <c r="J25" s="125"/>
      <c r="K25" s="16" t="str">
        <f>IF(J25="","",IF('DATA EX1'!M20=10,"The Project is not paid back",'DATA EX1'!M20+'DATA EX1'!N20))</f>
        <v/>
      </c>
      <c r="L25" s="28" t="str">
        <f t="shared" si="2"/>
        <v/>
      </c>
      <c r="M25" t="str">
        <f t="shared" si="3"/>
        <v/>
      </c>
    </row>
    <row r="26" spans="2:13" x14ac:dyDescent="0.35">
      <c r="B26" s="125"/>
      <c r="C26" s="50" t="str">
        <f>IF('Payback Analysis'!B26="","",IF('DATA EX1'!AC22=10,"The Project is not paid back",'DATA EX1'!AC22+'DATA EX1'!AD22))</f>
        <v/>
      </c>
      <c r="D26" s="28" t="str">
        <f t="shared" si="0"/>
        <v/>
      </c>
      <c r="E26" t="str">
        <f t="shared" si="1"/>
        <v/>
      </c>
      <c r="J26" s="125"/>
      <c r="K26" s="16" t="str">
        <f>IF(J26="","",IF('DATA EX1'!M21=10,"The Project is not paid back",'DATA EX1'!M21+'DATA EX1'!N21))</f>
        <v/>
      </c>
      <c r="L26" s="28" t="str">
        <f t="shared" si="2"/>
        <v/>
      </c>
      <c r="M26" t="str">
        <f t="shared" si="3"/>
        <v/>
      </c>
    </row>
    <row r="27" spans="2:13" x14ac:dyDescent="0.35">
      <c r="B27" s="125"/>
      <c r="C27" s="50" t="str">
        <f>IF('Payback Analysis'!B27="","",IF('DATA EX1'!AC23=10,"The Project is not paid back",'DATA EX1'!AC23+'DATA EX1'!AD23))</f>
        <v/>
      </c>
      <c r="D27" s="28" t="str">
        <f t="shared" si="0"/>
        <v/>
      </c>
      <c r="E27" t="str">
        <f t="shared" si="1"/>
        <v/>
      </c>
      <c r="J27" s="125"/>
      <c r="K27" s="16" t="str">
        <f>IF(J27="","",IF('DATA EX1'!M22=10,"The Project is not paid back",'DATA EX1'!M22+'DATA EX1'!N22))</f>
        <v/>
      </c>
      <c r="L27" s="28" t="str">
        <f t="shared" si="2"/>
        <v/>
      </c>
      <c r="M27" t="str">
        <f t="shared" si="3"/>
        <v/>
      </c>
    </row>
    <row r="28" spans="2:13" x14ac:dyDescent="0.35">
      <c r="B28" s="125"/>
      <c r="C28" s="50" t="str">
        <f>IF('Payback Analysis'!B28="","",IF('DATA EX1'!AC24=10,"The Project is not paid back",'DATA EX1'!AC24+'DATA EX1'!AD24))</f>
        <v/>
      </c>
      <c r="D28" s="28" t="str">
        <f t="shared" si="0"/>
        <v/>
      </c>
      <c r="E28" t="str">
        <f t="shared" si="1"/>
        <v/>
      </c>
      <c r="J28" s="125"/>
      <c r="K28" s="16" t="str">
        <f>IF(J28="","",IF('DATA EX1'!M23=10,"The Project is not paid back",'DATA EX1'!M23+'DATA EX1'!N23))</f>
        <v/>
      </c>
      <c r="L28" s="28" t="str">
        <f t="shared" si="2"/>
        <v/>
      </c>
      <c r="M28" t="str">
        <f t="shared" si="3"/>
        <v/>
      </c>
    </row>
    <row r="29" spans="2:13" x14ac:dyDescent="0.35">
      <c r="B29" s="125"/>
      <c r="C29" s="50" t="str">
        <f>IF('Payback Analysis'!B29="","",IF('DATA EX1'!AC25=10,"The Project is not paid back",'DATA EX1'!AC25+'DATA EX1'!AD25))</f>
        <v/>
      </c>
      <c r="D29" s="28" t="str">
        <f t="shared" si="0"/>
        <v/>
      </c>
      <c r="E29" t="str">
        <f t="shared" si="1"/>
        <v/>
      </c>
      <c r="J29" s="125"/>
      <c r="K29" s="16" t="str">
        <f>IF(J29="","",IF('DATA EX1'!M24=10,"The Project is not paid back",'DATA EX1'!M24+'DATA EX1'!N24))</f>
        <v/>
      </c>
      <c r="L29" s="28" t="str">
        <f t="shared" si="2"/>
        <v/>
      </c>
      <c r="M29" t="str">
        <f t="shared" si="3"/>
        <v/>
      </c>
    </row>
    <row r="30" spans="2:13" x14ac:dyDescent="0.35">
      <c r="B30" s="125"/>
      <c r="C30" s="50" t="str">
        <f>IF('Payback Analysis'!B30="","",IF('DATA EX1'!AC26=10,"The Project is not paid back",'DATA EX1'!AC26+'DATA EX1'!AD26))</f>
        <v/>
      </c>
      <c r="D30" s="28" t="str">
        <f t="shared" si="0"/>
        <v/>
      </c>
      <c r="E30" t="str">
        <f t="shared" si="1"/>
        <v/>
      </c>
      <c r="J30" s="125"/>
      <c r="K30" s="16" t="str">
        <f>IF(J30="","",IF('DATA EX1'!M25=10,"The Project is not paid back",'DATA EX1'!M25+'DATA EX1'!N25))</f>
        <v/>
      </c>
      <c r="L30" s="28" t="str">
        <f t="shared" si="2"/>
        <v/>
      </c>
      <c r="M30" t="str">
        <f t="shared" si="3"/>
        <v/>
      </c>
    </row>
    <row r="31" spans="2:13" x14ac:dyDescent="0.35">
      <c r="B31" s="125"/>
      <c r="C31" s="50" t="str">
        <f>IF('Payback Analysis'!B31="","",IF('DATA EX1'!AC27=10,"The Project is not paid back",'DATA EX1'!AC27+'DATA EX1'!AD27))</f>
        <v/>
      </c>
      <c r="D31" s="28" t="str">
        <f t="shared" si="0"/>
        <v/>
      </c>
      <c r="E31" t="str">
        <f t="shared" si="1"/>
        <v/>
      </c>
      <c r="J31" s="125"/>
      <c r="K31" s="16" t="str">
        <f>IF(J31="","",IF('DATA EX1'!M26=10,"The Project is not paid back",'DATA EX1'!M26+'DATA EX1'!N26))</f>
        <v/>
      </c>
      <c r="L31" s="28" t="str">
        <f t="shared" si="2"/>
        <v/>
      </c>
      <c r="M31" t="str">
        <f t="shared" si="3"/>
        <v/>
      </c>
    </row>
    <row r="32" spans="2:13" x14ac:dyDescent="0.35">
      <c r="B32" s="125"/>
      <c r="C32" s="50" t="str">
        <f>IF('Payback Analysis'!B32="","",IF('DATA EX1'!AC28=10,"The Project is not paid back",'DATA EX1'!AC28+'DATA EX1'!AD28))</f>
        <v/>
      </c>
      <c r="D32" s="28" t="str">
        <f t="shared" si="0"/>
        <v/>
      </c>
      <c r="E32" t="str">
        <f t="shared" si="1"/>
        <v/>
      </c>
      <c r="J32" s="125"/>
      <c r="K32" s="16" t="str">
        <f>IF(J32="","",IF('DATA EX1'!M27=10,"The Project is not paid back",'DATA EX1'!M27+'DATA EX1'!N27))</f>
        <v/>
      </c>
      <c r="L32" s="28" t="str">
        <f t="shared" si="2"/>
        <v/>
      </c>
      <c r="M32" t="str">
        <f t="shared" si="3"/>
        <v/>
      </c>
    </row>
    <row r="33" spans="2:13" x14ac:dyDescent="0.35">
      <c r="B33" s="125"/>
      <c r="C33" s="50" t="str">
        <f>IF('Payback Analysis'!B33="","",IF('DATA EX1'!AC29=10,"The Project is not paid back",'DATA EX1'!AC29+'DATA EX1'!AD29))</f>
        <v/>
      </c>
      <c r="D33" s="28" t="str">
        <f t="shared" si="0"/>
        <v/>
      </c>
      <c r="E33" t="str">
        <f t="shared" si="1"/>
        <v/>
      </c>
      <c r="J33" s="125"/>
      <c r="K33" s="16" t="str">
        <f>IF(J33="","",IF('DATA EX1'!M28=10,"The Project is not paid back",'DATA EX1'!M28+'DATA EX1'!N28))</f>
        <v/>
      </c>
      <c r="L33" s="28" t="str">
        <f t="shared" si="2"/>
        <v/>
      </c>
      <c r="M33" t="str">
        <f t="shared" si="3"/>
        <v/>
      </c>
    </row>
    <row r="34" spans="2:13" x14ac:dyDescent="0.35">
      <c r="B34" s="125"/>
      <c r="C34" s="50" t="str">
        <f>IF('Payback Analysis'!B34="","",IF('DATA EX1'!AC30=10,"The Project is not paid back",'DATA EX1'!AC30+'DATA EX1'!AD30))</f>
        <v/>
      </c>
      <c r="D34" s="28" t="str">
        <f t="shared" si="0"/>
        <v/>
      </c>
      <c r="E34" t="str">
        <f t="shared" si="1"/>
        <v/>
      </c>
      <c r="J34" s="125"/>
      <c r="K34" s="16" t="str">
        <f>IF(J34="","",IF('DATA EX1'!M29=10,"The Project is not paid back",'DATA EX1'!M29+'DATA EX1'!N29))</f>
        <v/>
      </c>
      <c r="L34" s="28" t="str">
        <f t="shared" si="2"/>
        <v/>
      </c>
      <c r="M34" t="str">
        <f t="shared" si="3"/>
        <v/>
      </c>
    </row>
    <row r="35" spans="2:13" x14ac:dyDescent="0.35">
      <c r="B35" s="125"/>
      <c r="C35" s="50" t="str">
        <f>IF('Payback Analysis'!B35="","",IF('DATA EX1'!AC31=10,"The Project is not paid back",'DATA EX1'!AC31+'DATA EX1'!AD31))</f>
        <v/>
      </c>
      <c r="D35" s="28" t="str">
        <f t="shared" si="0"/>
        <v/>
      </c>
      <c r="E35" t="str">
        <f t="shared" si="1"/>
        <v/>
      </c>
      <c r="J35" s="125"/>
      <c r="K35" s="16" t="str">
        <f>IF(J35="","",IF('DATA EX1'!M30=10,"The Project is not paid back",'DATA EX1'!M30+'DATA EX1'!N30))</f>
        <v/>
      </c>
      <c r="L35" s="28" t="str">
        <f t="shared" si="2"/>
        <v/>
      </c>
      <c r="M35" t="str">
        <f t="shared" si="3"/>
        <v/>
      </c>
    </row>
    <row r="36" spans="2:13" x14ac:dyDescent="0.35">
      <c r="B36" s="125"/>
      <c r="C36" s="50" t="str">
        <f>IF('Payback Analysis'!B36="","",IF('DATA EX1'!AC32=10,"The Project is not paid back",'DATA EX1'!AC32+'DATA EX1'!AD32))</f>
        <v/>
      </c>
      <c r="D36" s="28" t="str">
        <f t="shared" si="0"/>
        <v/>
      </c>
      <c r="E36" t="str">
        <f t="shared" si="1"/>
        <v/>
      </c>
      <c r="J36" s="125"/>
      <c r="K36" s="16" t="str">
        <f>IF(J36="","",IF('DATA EX1'!M31=10,"The Project is not paid back",'DATA EX1'!M31+'DATA EX1'!N31))</f>
        <v/>
      </c>
      <c r="L36" s="28" t="str">
        <f t="shared" si="2"/>
        <v/>
      </c>
      <c r="M36" t="str">
        <f t="shared" si="3"/>
        <v/>
      </c>
    </row>
    <row r="37" spans="2:13" x14ac:dyDescent="0.35">
      <c r="B37" s="125"/>
      <c r="C37" s="50" t="str">
        <f>IF('Payback Analysis'!B37="","",IF('DATA EX1'!AC33=10,"The Project is not paid back",'DATA EX1'!AC33+'DATA EX1'!AD33))</f>
        <v/>
      </c>
      <c r="D37" s="28" t="str">
        <f t="shared" si="0"/>
        <v/>
      </c>
      <c r="E37" t="str">
        <f t="shared" si="1"/>
        <v/>
      </c>
      <c r="J37" s="125"/>
      <c r="K37" s="16" t="str">
        <f>IF(J37="","",IF('DATA EX1'!M32=10,"The Project is not paid back",'DATA EX1'!M32+'DATA EX1'!N32))</f>
        <v/>
      </c>
      <c r="L37" s="28" t="str">
        <f t="shared" si="2"/>
        <v/>
      </c>
      <c r="M37" t="str">
        <f t="shared" si="3"/>
        <v/>
      </c>
    </row>
    <row r="38" spans="2:13" x14ac:dyDescent="0.35">
      <c r="B38" s="125"/>
      <c r="C38" s="50" t="str">
        <f>IF('Payback Analysis'!B38="","",IF('DATA EX1'!AC34=10,"The Project is not paid back",'DATA EX1'!AC34+'DATA EX1'!AD34))</f>
        <v/>
      </c>
      <c r="D38" s="28" t="str">
        <f t="shared" si="0"/>
        <v/>
      </c>
      <c r="E38" t="str">
        <f t="shared" si="1"/>
        <v/>
      </c>
      <c r="J38" s="125"/>
      <c r="K38" s="16" t="str">
        <f>IF(J38="","",IF('DATA EX1'!M33=10,"The Project is not paid back",'DATA EX1'!M33+'DATA EX1'!N33))</f>
        <v/>
      </c>
      <c r="L38" s="28" t="str">
        <f t="shared" si="2"/>
        <v/>
      </c>
      <c r="M38" t="str">
        <f t="shared" si="3"/>
        <v/>
      </c>
    </row>
    <row r="39" spans="2:13" x14ac:dyDescent="0.35">
      <c r="B39" s="125"/>
      <c r="C39" s="50" t="str">
        <f>IF('Payback Analysis'!B39="","",IF('DATA EX1'!AC35=10,"The Project is not paid back",'DATA EX1'!AC35+'DATA EX1'!AD35))</f>
        <v/>
      </c>
      <c r="D39" s="28" t="str">
        <f t="shared" si="0"/>
        <v/>
      </c>
      <c r="E39" t="str">
        <f t="shared" si="1"/>
        <v/>
      </c>
      <c r="J39" s="125"/>
      <c r="K39" s="16" t="str">
        <f>IF(J39="","",IF('DATA EX1'!M34=10,"The Project is not paid back",'DATA EX1'!M34+'DATA EX1'!N34))</f>
        <v/>
      </c>
      <c r="M39" t="str">
        <f t="shared" si="3"/>
        <v/>
      </c>
    </row>
    <row r="40" spans="2:13" x14ac:dyDescent="0.35">
      <c r="B40" s="125"/>
      <c r="C40" s="50" t="str">
        <f>IF('Payback Analysis'!B40="","",IF('DATA EX1'!AC36=10,"The Project is not paid back",'DATA EX1'!AC36+'DATA EX1'!AD36))</f>
        <v/>
      </c>
      <c r="D40" s="28" t="str">
        <f t="shared" si="0"/>
        <v/>
      </c>
      <c r="E40" t="str">
        <f t="shared" si="1"/>
        <v/>
      </c>
      <c r="J40" s="125"/>
      <c r="K40" s="16" t="str">
        <f>IF(J40="","",IF('DATA EX1'!M35=10,"The Project is not paid back",'DATA EX1'!M35+'DATA EX1'!N35))</f>
        <v/>
      </c>
      <c r="M40" t="str">
        <f t="shared" si="3"/>
        <v/>
      </c>
    </row>
    <row r="41" spans="2:13" x14ac:dyDescent="0.35">
      <c r="B41" s="125"/>
      <c r="C41" s="50" t="str">
        <f>IF('Payback Analysis'!B41="","",IF('DATA EX1'!AC37=10,"The Project is not paid back",'DATA EX1'!AC37+'DATA EX1'!AD37))</f>
        <v/>
      </c>
      <c r="D41" s="28" t="str">
        <f t="shared" si="0"/>
        <v/>
      </c>
      <c r="E41" t="str">
        <f t="shared" si="1"/>
        <v/>
      </c>
      <c r="J41" s="125"/>
      <c r="K41" s="16" t="str">
        <f>IF(J41="","",IF('DATA EX1'!M36=10,"The Project is not paid back",'DATA EX1'!M36+'DATA EX1'!N36))</f>
        <v/>
      </c>
      <c r="M41" t="str">
        <f t="shared" si="3"/>
        <v/>
      </c>
    </row>
    <row r="42" spans="2:13" x14ac:dyDescent="0.35">
      <c r="B42" s="125"/>
      <c r="C42" s="50" t="str">
        <f>IF('Payback Analysis'!B42="","",IF('DATA EX1'!AC38=10,"The Project is not paid back",'DATA EX1'!AC38+'DATA EX1'!AD38))</f>
        <v/>
      </c>
      <c r="D42" s="28" t="str">
        <f t="shared" si="0"/>
        <v/>
      </c>
      <c r="E42" t="str">
        <f t="shared" si="1"/>
        <v/>
      </c>
      <c r="J42" s="125"/>
      <c r="K42" s="16" t="str">
        <f>IF(J42="","",IF('DATA EX1'!M37=10,"The Project is not paid back",'DATA EX1'!M37+'DATA EX1'!N37))</f>
        <v/>
      </c>
      <c r="M42" t="str">
        <f t="shared" si="3"/>
        <v/>
      </c>
    </row>
    <row r="43" spans="2:13" x14ac:dyDescent="0.35">
      <c r="B43" s="125"/>
      <c r="C43" s="50" t="str">
        <f>IF('Payback Analysis'!B43="","",IF('DATA EX1'!AC39=10,"The Project is not paid back",'DATA EX1'!AC39+'DATA EX1'!AD39))</f>
        <v/>
      </c>
      <c r="D43" s="28" t="str">
        <f t="shared" si="0"/>
        <v/>
      </c>
      <c r="E43" t="str">
        <f t="shared" si="1"/>
        <v/>
      </c>
      <c r="J43" s="125"/>
      <c r="K43" s="16" t="str">
        <f>IF(J43="","",IF('DATA EX1'!M38=10,"The Project is not paid back",'DATA EX1'!M38+'DATA EX1'!N38))</f>
        <v/>
      </c>
      <c r="M43" t="str">
        <f t="shared" si="3"/>
        <v/>
      </c>
    </row>
    <row r="44" spans="2:13" x14ac:dyDescent="0.35">
      <c r="C44" s="50" t="str">
        <f>IF('Payback Analysis'!B44="","",IF('DATA EX1'!AC40=10,"The Project is not paid back",'DATA EX1'!AC40+'DATA EX1'!AD40))</f>
        <v/>
      </c>
      <c r="D44" s="28" t="str">
        <f t="shared" si="0"/>
        <v/>
      </c>
      <c r="E44" t="str">
        <f t="shared" si="1"/>
        <v/>
      </c>
      <c r="J44" s="125"/>
      <c r="K44" s="16" t="str">
        <f>IF(J44="","",IF('DATA EX1'!M39=10,"The Project is not paid back",'DATA EX1'!M39+'DATA EX1'!N39))</f>
        <v/>
      </c>
      <c r="M44" t="str">
        <f t="shared" si="3"/>
        <v/>
      </c>
    </row>
    <row r="45" spans="2:13" x14ac:dyDescent="0.35">
      <c r="C45" s="50" t="str">
        <f>IF('Payback Analysis'!B45="","",IF('DATA EX1'!AC41=10,"The Project is not paid back",'DATA EX1'!AC41+'DATA EX1'!AD41))</f>
        <v/>
      </c>
      <c r="D45" s="28" t="str">
        <f t="shared" si="0"/>
        <v/>
      </c>
      <c r="E45" t="str">
        <f t="shared" si="1"/>
        <v/>
      </c>
      <c r="J45" s="125"/>
      <c r="K45" s="16" t="str">
        <f>IF(J45="","",IF('DATA EX1'!M40=10,"The Project is not paid back",'DATA EX1'!M40+'DATA EX1'!N40))</f>
        <v/>
      </c>
      <c r="M45" t="str">
        <f t="shared" si="3"/>
        <v/>
      </c>
    </row>
    <row r="46" spans="2:13" x14ac:dyDescent="0.35">
      <c r="D46" s="28" t="str">
        <f t="shared" si="0"/>
        <v/>
      </c>
      <c r="E46" t="str">
        <f t="shared" si="1"/>
        <v/>
      </c>
      <c r="J46" s="125"/>
      <c r="K46" s="16" t="str">
        <f>IF(J46="","",IF('DATA EX1'!M41=10,"The Project is not paid back",'DATA EX1'!M41+'DATA EX1'!N41))</f>
        <v/>
      </c>
      <c r="M46" t="str">
        <f t="shared" si="3"/>
        <v/>
      </c>
    </row>
    <row r="47" spans="2:13" x14ac:dyDescent="0.35">
      <c r="D47" s="28" t="str">
        <f t="shared" si="0"/>
        <v/>
      </c>
      <c r="E47" t="str">
        <f t="shared" si="1"/>
        <v/>
      </c>
      <c r="J47" s="125"/>
      <c r="M47" t="str">
        <f t="shared" si="3"/>
        <v/>
      </c>
    </row>
    <row r="48" spans="2:13" x14ac:dyDescent="0.35">
      <c r="D48" s="28" t="str">
        <f t="shared" si="0"/>
        <v/>
      </c>
      <c r="E48" t="str">
        <f t="shared" si="1"/>
        <v/>
      </c>
      <c r="J48" s="125"/>
      <c r="M48" t="str">
        <f t="shared" si="3"/>
        <v/>
      </c>
    </row>
    <row r="49" spans="4:13" x14ac:dyDescent="0.35">
      <c r="D49" s="28" t="str">
        <f t="shared" si="0"/>
        <v/>
      </c>
      <c r="E49" t="str">
        <f t="shared" si="1"/>
        <v/>
      </c>
      <c r="J49" s="125"/>
      <c r="M49" t="str">
        <f t="shared" si="3"/>
        <v/>
      </c>
    </row>
    <row r="50" spans="4:13" x14ac:dyDescent="0.35">
      <c r="D50" s="28" t="str">
        <f t="shared" si="0"/>
        <v/>
      </c>
      <c r="E50" t="str">
        <f t="shared" si="1"/>
        <v/>
      </c>
      <c r="J50" s="125"/>
      <c r="M50" t="str">
        <f t="shared" si="3"/>
        <v/>
      </c>
    </row>
    <row r="51" spans="4:13" x14ac:dyDescent="0.35">
      <c r="D51" s="28" t="str">
        <f t="shared" si="0"/>
        <v/>
      </c>
      <c r="E51" t="str">
        <f t="shared" si="1"/>
        <v/>
      </c>
      <c r="J51" s="125"/>
      <c r="M51" t="str">
        <f t="shared" si="3"/>
        <v/>
      </c>
    </row>
    <row r="52" spans="4:13" x14ac:dyDescent="0.35">
      <c r="D52" s="28" t="str">
        <f t="shared" si="0"/>
        <v/>
      </c>
      <c r="E52" t="str">
        <f t="shared" si="1"/>
        <v/>
      </c>
      <c r="J52" s="125"/>
      <c r="M52" t="str">
        <f t="shared" si="3"/>
        <v/>
      </c>
    </row>
    <row r="53" spans="4:13" x14ac:dyDescent="0.35">
      <c r="D53" s="28" t="str">
        <f t="shared" si="0"/>
        <v/>
      </c>
      <c r="E53" t="str">
        <f t="shared" si="1"/>
        <v/>
      </c>
      <c r="J53" s="125"/>
      <c r="M53" t="str">
        <f t="shared" si="3"/>
        <v/>
      </c>
    </row>
    <row r="54" spans="4:13" x14ac:dyDescent="0.35">
      <c r="D54" s="28" t="str">
        <f t="shared" si="0"/>
        <v/>
      </c>
      <c r="E54" t="str">
        <f t="shared" si="1"/>
        <v/>
      </c>
      <c r="J54" s="125"/>
      <c r="M54" t="str">
        <f t="shared" si="3"/>
        <v/>
      </c>
    </row>
    <row r="55" spans="4:13" x14ac:dyDescent="0.35">
      <c r="D55" s="28" t="str">
        <f t="shared" si="0"/>
        <v/>
      </c>
      <c r="E55" t="str">
        <f t="shared" si="1"/>
        <v/>
      </c>
      <c r="J55" s="125"/>
      <c r="M55" t="str">
        <f t="shared" si="3"/>
        <v/>
      </c>
    </row>
    <row r="56" spans="4:13" x14ac:dyDescent="0.35">
      <c r="J56" s="125"/>
      <c r="M56" t="str">
        <f t="shared" si="3"/>
        <v/>
      </c>
    </row>
    <row r="57" spans="4:13" x14ac:dyDescent="0.35">
      <c r="J57" s="125"/>
      <c r="M57" t="str">
        <f t="shared" si="3"/>
        <v/>
      </c>
    </row>
    <row r="58" spans="4:13" x14ac:dyDescent="0.35">
      <c r="M58" t="str">
        <f t="shared" si="3"/>
        <v/>
      </c>
    </row>
    <row r="59" spans="4:13" x14ac:dyDescent="0.35">
      <c r="M59" t="str">
        <f t="shared" si="3"/>
        <v/>
      </c>
    </row>
    <row r="60" spans="4:13" x14ac:dyDescent="0.35">
      <c r="M60" t="str">
        <f t="shared" si="3"/>
        <v/>
      </c>
    </row>
    <row r="61" spans="4:13" x14ac:dyDescent="0.35">
      <c r="M61" t="str">
        <f t="shared" si="3"/>
        <v/>
      </c>
    </row>
    <row r="62" spans="4:13" x14ac:dyDescent="0.35">
      <c r="M62" t="str">
        <f t="shared" si="3"/>
        <v/>
      </c>
    </row>
    <row r="63" spans="4:13" x14ac:dyDescent="0.35">
      <c r="M63" t="str">
        <f t="shared" si="3"/>
        <v/>
      </c>
    </row>
    <row r="64" spans="4:13" x14ac:dyDescent="0.35">
      <c r="M64" t="str">
        <f t="shared" si="3"/>
        <v/>
      </c>
    </row>
    <row r="65" spans="13:13" x14ac:dyDescent="0.35">
      <c r="M65" t="str">
        <f t="shared" si="3"/>
        <v/>
      </c>
    </row>
    <row r="66" spans="13:13" x14ac:dyDescent="0.35">
      <c r="M66" t="str">
        <f t="shared" si="3"/>
        <v/>
      </c>
    </row>
    <row r="67" spans="13:13" x14ac:dyDescent="0.35">
      <c r="M67" t="str">
        <f t="shared" si="3"/>
        <v/>
      </c>
    </row>
    <row r="68" spans="13:13" x14ac:dyDescent="0.35">
      <c r="M68" t="str">
        <f t="shared" si="3"/>
        <v/>
      </c>
    </row>
    <row r="69" spans="13:13" x14ac:dyDescent="0.35">
      <c r="M69" t="str">
        <f t="shared" si="3"/>
        <v/>
      </c>
    </row>
    <row r="70" spans="13:13" x14ac:dyDescent="0.35">
      <c r="M70" t="str">
        <f t="shared" si="3"/>
        <v/>
      </c>
    </row>
    <row r="71" spans="13:13" x14ac:dyDescent="0.35">
      <c r="M71" t="str">
        <f t="shared" si="3"/>
        <v/>
      </c>
    </row>
    <row r="72" spans="13:13" x14ac:dyDescent="0.35">
      <c r="M72" t="str">
        <f t="shared" si="3"/>
        <v/>
      </c>
    </row>
    <row r="73" spans="13:13" x14ac:dyDescent="0.35">
      <c r="M73" t="str">
        <f t="shared" ref="M73:M78" si="4">IF(J73="","",IF(K73="The Project is not paid back"," Not Ranked",_xlfn.RANK.EQ(K73,K$8:K$39,1)))</f>
        <v/>
      </c>
    </row>
    <row r="74" spans="13:13" x14ac:dyDescent="0.35">
      <c r="M74" t="str">
        <f t="shared" si="4"/>
        <v/>
      </c>
    </row>
    <row r="75" spans="13:13" x14ac:dyDescent="0.35">
      <c r="M75" t="str">
        <f t="shared" si="4"/>
        <v/>
      </c>
    </row>
    <row r="76" spans="13:13" x14ac:dyDescent="0.35">
      <c r="M76" t="str">
        <f t="shared" si="4"/>
        <v/>
      </c>
    </row>
    <row r="77" spans="13:13" x14ac:dyDescent="0.35">
      <c r="M77" t="str">
        <f t="shared" si="4"/>
        <v/>
      </c>
    </row>
    <row r="78" spans="13:13" x14ac:dyDescent="0.35">
      <c r="M78" t="str">
        <f t="shared" si="4"/>
        <v/>
      </c>
    </row>
    <row r="82" spans="2:10" ht="15" thickBot="1" x14ac:dyDescent="0.4"/>
    <row r="83" spans="2:10" ht="18.5" x14ac:dyDescent="0.45">
      <c r="B83" s="11"/>
      <c r="C83" s="165" t="s">
        <v>12</v>
      </c>
      <c r="D83" s="166"/>
      <c r="E83" s="166"/>
      <c r="F83" s="166"/>
      <c r="G83" s="167"/>
      <c r="H83" s="18"/>
      <c r="I83" s="18"/>
      <c r="J83" s="11"/>
    </row>
    <row r="84" spans="2:10" x14ac:dyDescent="0.35">
      <c r="C84" s="168"/>
      <c r="D84" s="169"/>
      <c r="E84" s="169"/>
      <c r="F84" s="169"/>
      <c r="G84" s="170"/>
      <c r="H84" s="18"/>
      <c r="I84" s="18"/>
    </row>
    <row r="85" spans="2:10" x14ac:dyDescent="0.35">
      <c r="C85" s="168"/>
      <c r="D85" s="169"/>
      <c r="E85" s="169"/>
      <c r="F85" s="169"/>
      <c r="G85" s="170"/>
      <c r="H85" s="18"/>
      <c r="I85" s="18"/>
    </row>
    <row r="86" spans="2:10" x14ac:dyDescent="0.35">
      <c r="C86" s="168"/>
      <c r="D86" s="169"/>
      <c r="E86" s="169"/>
      <c r="F86" s="169"/>
      <c r="G86" s="170"/>
      <c r="H86" s="18"/>
      <c r="I86" s="18"/>
    </row>
    <row r="87" spans="2:10" x14ac:dyDescent="0.35">
      <c r="C87" s="168"/>
      <c r="D87" s="169"/>
      <c r="E87" s="169"/>
      <c r="F87" s="169"/>
      <c r="G87" s="170"/>
      <c r="H87" s="18"/>
      <c r="I87" s="18"/>
    </row>
    <row r="88" spans="2:10" ht="15" thickBot="1" x14ac:dyDescent="0.4">
      <c r="C88" s="171"/>
      <c r="D88" s="172"/>
      <c r="E88" s="172"/>
      <c r="F88" s="172"/>
      <c r="G88" s="173"/>
      <c r="H88" s="18"/>
      <c r="I88" s="18"/>
    </row>
  </sheetData>
  <mergeCells count="6">
    <mergeCell ref="O8:T14"/>
    <mergeCell ref="C83:G88"/>
    <mergeCell ref="B2:C2"/>
    <mergeCell ref="J2:K2"/>
    <mergeCell ref="E2:F2"/>
    <mergeCell ref="M4:N4"/>
  </mergeCells>
  <conditionalFormatting sqref="E8:E55">
    <cfRule type="cellIs" dxfId="15" priority="6" operator="equal">
      <formula>3</formula>
    </cfRule>
    <cfRule type="cellIs" dxfId="14" priority="7" operator="equal">
      <formula>2</formula>
    </cfRule>
    <cfRule type="cellIs" dxfId="13" priority="8" operator="equal">
      <formula>1</formula>
    </cfRule>
  </conditionalFormatting>
  <conditionalFormatting sqref="M8:M70">
    <cfRule type="cellIs" dxfId="12" priority="3" operator="equal">
      <formula>3</formula>
    </cfRule>
    <cfRule type="cellIs" dxfId="11" priority="4" operator="equal">
      <formula>2</formula>
    </cfRule>
    <cfRule type="cellIs" dxfId="10" priority="5" operator="equal">
      <formula>1</formula>
    </cfRule>
  </conditionalFormatting>
  <conditionalFormatting sqref="B8:B1048576">
    <cfRule type="notContainsBlanks" dxfId="9" priority="2">
      <formula>LEN(TRIM(B8))&gt;0</formula>
    </cfRule>
  </conditionalFormatting>
  <conditionalFormatting sqref="J8:J1048576">
    <cfRule type="notContainsBlanks" dxfId="8" priority="1">
      <formula>LEN(TRIM(J8))&gt;0</formula>
    </cfRule>
  </conditionalFormatting>
  <hyperlinks>
    <hyperlink ref="M4:N4" location="'Profitability Index'!A1" display="Go To profitability Index" xr:uid="{71869CFD-5950-4877-A390-E85E0A00278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56937D4C-DA98-4937-AFE9-E36159583988}">
          <x14:formula1>
            <xm:f>'DATA EX1'!$J$3:$J$12</xm:f>
          </x14:formula1>
          <xm:sqref>G2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026F5-8B80-47BF-9C9A-03C990228EFB}">
  <sheetPr codeName="Sheet8"/>
  <dimension ref="B1:K107"/>
  <sheetViews>
    <sheetView showGridLines="0" workbookViewId="0">
      <selection activeCell="J3" sqref="J3"/>
    </sheetView>
  </sheetViews>
  <sheetFormatPr defaultRowHeight="14.5" x14ac:dyDescent="0.35"/>
  <cols>
    <col min="2" max="2" width="13.26953125" bestFit="1" customWidth="1"/>
    <col min="3" max="3" width="17.26953125" bestFit="1" customWidth="1"/>
    <col min="4" max="4" width="28" bestFit="1" customWidth="1"/>
    <col min="6" max="6" width="10.81640625" customWidth="1"/>
    <col min="7" max="7" width="16" customWidth="1"/>
  </cols>
  <sheetData>
    <row r="1" spans="2:11" ht="15" thickBot="1" x14ac:dyDescent="0.4"/>
    <row r="2" spans="2:11" ht="15" thickBot="1" x14ac:dyDescent="0.4">
      <c r="B2" s="174" t="s">
        <v>40</v>
      </c>
      <c r="C2" s="175"/>
      <c r="D2" s="30"/>
    </row>
    <row r="3" spans="2:11" x14ac:dyDescent="0.35">
      <c r="C3" s="24"/>
      <c r="D3" s="24"/>
    </row>
    <row r="4" spans="2:11" x14ac:dyDescent="0.35">
      <c r="B4" s="20" t="s">
        <v>15</v>
      </c>
      <c r="C4" s="21">
        <f>'NPV Project'!C4</f>
        <v>0.05</v>
      </c>
      <c r="D4" s="21"/>
      <c r="E4" s="184" t="s">
        <v>41</v>
      </c>
      <c r="F4" s="178"/>
    </row>
    <row r="5" spans="2:11" x14ac:dyDescent="0.35">
      <c r="E5" s="6"/>
    </row>
    <row r="6" spans="2:11" x14ac:dyDescent="0.35">
      <c r="B6" s="51"/>
      <c r="C6" s="25" t="s">
        <v>11</v>
      </c>
      <c r="D6" s="25" t="s">
        <v>24</v>
      </c>
      <c r="E6" s="25" t="s">
        <v>9</v>
      </c>
    </row>
    <row r="7" spans="2:11" x14ac:dyDescent="0.35">
      <c r="B7" s="2" t="s">
        <v>42</v>
      </c>
      <c r="E7" s="6"/>
    </row>
    <row r="8" spans="2:11" x14ac:dyDescent="0.35">
      <c r="B8" s="124" t="s">
        <v>0</v>
      </c>
      <c r="C8" s="48">
        <f ca="1">IF(B8="","",NPV(C$4,OFFSET('Cash Flow of Project'!D8,0,0,1,10))/ABS('NPV Project'!C8))</f>
        <v>1.0295646572246415</v>
      </c>
      <c r="D8" s="23" t="str">
        <f ca="1">IF(B8="","",IF(C8&gt;1,"Yes Accepted","No Rejected"))</f>
        <v>Yes Accepted</v>
      </c>
      <c r="E8" s="29">
        <f ca="1">IF(B8="","",_xlfn.RANK.EQ(C8,C$8:C$55,0))</f>
        <v>7</v>
      </c>
      <c r="G8" s="180" t="s">
        <v>98</v>
      </c>
      <c r="H8" s="180"/>
      <c r="I8" s="180"/>
      <c r="J8" s="180"/>
      <c r="K8" s="180"/>
    </row>
    <row r="9" spans="2:11" x14ac:dyDescent="0.35">
      <c r="B9" s="124" t="s">
        <v>1</v>
      </c>
      <c r="C9" s="48">
        <f ca="1">IF(B9="","",NPV(C$4,OFFSET('Cash Flow of Project'!D9,0,0,1,10))/ABS('NPV Project'!C9))</f>
        <v>1.1582602393777217</v>
      </c>
      <c r="D9" s="23" t="str">
        <f t="shared" ref="D9:D72" ca="1" si="0">IF(B9="","",IF(C9&gt;1,"Yes Accepted","No Rejected"))</f>
        <v>Yes Accepted</v>
      </c>
      <c r="E9" s="29">
        <f t="shared" ref="E9:E46" ca="1" si="1">IF(B9="","",_xlfn.RANK.EQ(C9,C$8:C$55,0))</f>
        <v>4</v>
      </c>
      <c r="G9" s="180"/>
      <c r="H9" s="180"/>
      <c r="I9" s="180"/>
      <c r="J9" s="180"/>
      <c r="K9" s="180"/>
    </row>
    <row r="10" spans="2:11" x14ac:dyDescent="0.35">
      <c r="B10" s="124" t="s">
        <v>2</v>
      </c>
      <c r="C10" s="48">
        <f ca="1">IF(B10="","",NPV(C$4,OFFSET('Cash Flow of Project'!D10,0,0,1,10))/ABS('NPV Project'!C10))</f>
        <v>2.5852851037705018</v>
      </c>
      <c r="D10" s="23" t="str">
        <f t="shared" ca="1" si="0"/>
        <v>Yes Accepted</v>
      </c>
      <c r="E10" s="29">
        <f t="shared" ca="1" si="1"/>
        <v>1</v>
      </c>
      <c r="G10" s="180"/>
      <c r="H10" s="180"/>
      <c r="I10" s="180"/>
      <c r="J10" s="180"/>
      <c r="K10" s="180"/>
    </row>
    <row r="11" spans="2:11" x14ac:dyDescent="0.35">
      <c r="B11" s="124" t="s">
        <v>3</v>
      </c>
      <c r="C11" s="48">
        <f ca="1">IF(B11="","",NPV(C$4,OFFSET('Cash Flow of Project'!D11,0,0,1,10))/ABS('NPV Project'!C11))</f>
        <v>1.5443469858369623</v>
      </c>
      <c r="D11" s="23" t="str">
        <f t="shared" ca="1" si="0"/>
        <v>Yes Accepted</v>
      </c>
      <c r="E11" s="29">
        <f t="shared" ca="1" si="1"/>
        <v>3</v>
      </c>
      <c r="G11" s="180"/>
      <c r="H11" s="180"/>
      <c r="I11" s="180"/>
      <c r="J11" s="180"/>
      <c r="K11" s="180"/>
    </row>
    <row r="12" spans="2:11" x14ac:dyDescent="0.35">
      <c r="B12" s="124" t="s">
        <v>4</v>
      </c>
      <c r="C12" s="48">
        <f ca="1">IF(B12="","",NPV(C$4,OFFSET('Cash Flow of Project'!D12,0,0,1,10))/ABS('NPV Project'!C12))</f>
        <v>1.0772021265710423</v>
      </c>
      <c r="D12" s="23" t="str">
        <f t="shared" ca="1" si="0"/>
        <v>Yes Accepted</v>
      </c>
      <c r="E12" s="29">
        <f t="shared" ca="1" si="1"/>
        <v>5</v>
      </c>
      <c r="G12" s="180"/>
      <c r="H12" s="180"/>
      <c r="I12" s="180"/>
      <c r="J12" s="180"/>
      <c r="K12" s="180"/>
    </row>
    <row r="13" spans="2:11" x14ac:dyDescent="0.35">
      <c r="B13" s="124" t="s">
        <v>5</v>
      </c>
      <c r="C13" s="48">
        <f ca="1">IF(B13="","",NPV(C$4,OFFSET('Cash Flow of Project'!D13,0,0,1,10))/ABS('NPV Project'!C13))</f>
        <v>1.9304337322962024</v>
      </c>
      <c r="D13" s="23" t="str">
        <f t="shared" ca="1" si="0"/>
        <v>Yes Accepted</v>
      </c>
      <c r="E13" s="29">
        <f t="shared" ca="1" si="1"/>
        <v>2</v>
      </c>
      <c r="G13" s="180"/>
      <c r="H13" s="180"/>
      <c r="I13" s="180"/>
      <c r="J13" s="180"/>
      <c r="K13" s="180"/>
    </row>
    <row r="14" spans="2:11" x14ac:dyDescent="0.35">
      <c r="B14" s="124" t="s">
        <v>6</v>
      </c>
      <c r="C14" s="48">
        <f ca="1">IF(B14="","",NPV(C$4,OFFSET('Cash Flow of Project'!D14,0,0,1,10))/ABS('NPV Project'!C14))</f>
        <v>0.9574951312189165</v>
      </c>
      <c r="D14" s="23" t="str">
        <f t="shared" ca="1" si="0"/>
        <v>No Rejected</v>
      </c>
      <c r="E14" s="29">
        <f t="shared" ca="1" si="1"/>
        <v>8</v>
      </c>
      <c r="G14" s="180"/>
      <c r="H14" s="180"/>
      <c r="I14" s="180"/>
      <c r="J14" s="180"/>
      <c r="K14" s="180"/>
    </row>
    <row r="15" spans="2:11" x14ac:dyDescent="0.35">
      <c r="B15" s="122" t="s">
        <v>7</v>
      </c>
      <c r="C15" s="49">
        <f ca="1">IF(B15="","",NPV(C$4,OFFSET('Cash Flow of Project'!D15,0,0,1,10))/ABS('NPV Project'!C15))</f>
        <v>0.8891694766940087</v>
      </c>
      <c r="D15" s="22" t="str">
        <f t="shared" ca="1" si="0"/>
        <v>No Rejected</v>
      </c>
      <c r="E15" s="34">
        <f t="shared" ca="1" si="1"/>
        <v>9</v>
      </c>
    </row>
    <row r="16" spans="2:11" x14ac:dyDescent="0.35">
      <c r="B16" s="130" t="s">
        <v>85</v>
      </c>
      <c r="C16" s="48">
        <f ca="1">IF(B16="","",NPV(C$4,OFFSET('Cash Flow of Project'!D16,0,0,1,10))/ABS('NPV Project'!C16))</f>
        <v>1.0617385527629115</v>
      </c>
      <c r="D16" s="23" t="str">
        <f t="shared" ca="1" si="0"/>
        <v>Yes Accepted</v>
      </c>
      <c r="E16" s="29">
        <f t="shared" ca="1" si="1"/>
        <v>6</v>
      </c>
    </row>
    <row r="17" spans="2:5" x14ac:dyDescent="0.35">
      <c r="B17" s="125"/>
      <c r="C17" s="50" t="str">
        <f ca="1">IF(B17="","",NPV(C$4,OFFSET('Cash Flow of Project'!D17,0,0,1,10))/ABS('NPV Project'!C17))</f>
        <v/>
      </c>
      <c r="D17" s="28" t="str">
        <f t="shared" si="0"/>
        <v/>
      </c>
      <c r="E17" t="str">
        <f t="shared" si="1"/>
        <v/>
      </c>
    </row>
    <row r="18" spans="2:5" x14ac:dyDescent="0.35">
      <c r="B18" s="125"/>
      <c r="C18" s="50" t="str">
        <f ca="1">IF(B18="","",NPV(C$4,OFFSET('Cash Flow of Project'!D18,0,0,1,10))/ABS('NPV Project'!C18))</f>
        <v/>
      </c>
      <c r="D18" s="28" t="str">
        <f t="shared" si="0"/>
        <v/>
      </c>
      <c r="E18" t="str">
        <f t="shared" si="1"/>
        <v/>
      </c>
    </row>
    <row r="19" spans="2:5" x14ac:dyDescent="0.35">
      <c r="B19" s="125"/>
      <c r="C19" s="50" t="str">
        <f ca="1">IF(B19="","",NPV(C$4,OFFSET('Cash Flow of Project'!D19,0,0,1,10))/ABS('NPV Project'!C19))</f>
        <v/>
      </c>
      <c r="D19" s="28" t="str">
        <f t="shared" si="0"/>
        <v/>
      </c>
      <c r="E19" t="str">
        <f t="shared" si="1"/>
        <v/>
      </c>
    </row>
    <row r="20" spans="2:5" x14ac:dyDescent="0.35">
      <c r="B20" s="125"/>
      <c r="C20" s="50" t="str">
        <f ca="1">IF(B20="","",NPV(C$4,OFFSET('Cash Flow of Project'!D20,0,0,1,10))/ABS('NPV Project'!C20))</f>
        <v/>
      </c>
      <c r="D20" s="28" t="str">
        <f t="shared" si="0"/>
        <v/>
      </c>
      <c r="E20" t="str">
        <f t="shared" si="1"/>
        <v/>
      </c>
    </row>
    <row r="21" spans="2:5" x14ac:dyDescent="0.35">
      <c r="B21" s="125"/>
      <c r="C21" s="50" t="str">
        <f ca="1">IF(B21="","",NPV(C$4,OFFSET('Cash Flow of Project'!D21,0,0,1,10))/ABS('NPV Project'!C21))</f>
        <v/>
      </c>
      <c r="D21" s="28" t="str">
        <f t="shared" si="0"/>
        <v/>
      </c>
      <c r="E21" t="str">
        <f t="shared" si="1"/>
        <v/>
      </c>
    </row>
    <row r="22" spans="2:5" x14ac:dyDescent="0.35">
      <c r="B22" s="125"/>
      <c r="C22" s="50" t="str">
        <f ca="1">IF(B22="","",NPV(C$4,OFFSET('Cash Flow of Project'!D22,0,0,1,10))/ABS('NPV Project'!C22))</f>
        <v/>
      </c>
      <c r="D22" s="28" t="str">
        <f t="shared" si="0"/>
        <v/>
      </c>
      <c r="E22" t="str">
        <f t="shared" si="1"/>
        <v/>
      </c>
    </row>
    <row r="23" spans="2:5" x14ac:dyDescent="0.35">
      <c r="B23" s="125"/>
      <c r="C23" s="50" t="str">
        <f ca="1">IF(B23="","",NPV(C$4,OFFSET('Cash Flow of Project'!D23,0,0,1,10))/ABS('NPV Project'!C23))</f>
        <v/>
      </c>
      <c r="D23" s="28" t="str">
        <f t="shared" si="0"/>
        <v/>
      </c>
      <c r="E23" t="str">
        <f t="shared" si="1"/>
        <v/>
      </c>
    </row>
    <row r="24" spans="2:5" x14ac:dyDescent="0.35">
      <c r="B24" s="125"/>
      <c r="C24" s="50" t="str">
        <f ca="1">IF(B24="","",NPV(C$4,OFFSET('Cash Flow of Project'!D24,0,0,1,10))/ABS('NPV Project'!C24))</f>
        <v/>
      </c>
      <c r="D24" s="28" t="str">
        <f t="shared" si="0"/>
        <v/>
      </c>
      <c r="E24" t="str">
        <f t="shared" si="1"/>
        <v/>
      </c>
    </row>
    <row r="25" spans="2:5" x14ac:dyDescent="0.35">
      <c r="B25" s="125"/>
      <c r="C25" s="50" t="str">
        <f ca="1">IF(B25="","",NPV(C$4,OFFSET('Cash Flow of Project'!D25,0,0,1,10))/ABS('NPV Project'!C25))</f>
        <v/>
      </c>
      <c r="D25" s="28" t="str">
        <f t="shared" si="0"/>
        <v/>
      </c>
      <c r="E25" t="str">
        <f t="shared" si="1"/>
        <v/>
      </c>
    </row>
    <row r="26" spans="2:5" x14ac:dyDescent="0.35">
      <c r="B26" s="125"/>
      <c r="C26" s="50" t="str">
        <f ca="1">IF(B26="","",NPV(C$4,OFFSET('Cash Flow of Project'!D26,0,0,1,10))/ABS('NPV Project'!C26))</f>
        <v/>
      </c>
      <c r="D26" s="28" t="str">
        <f t="shared" si="0"/>
        <v/>
      </c>
      <c r="E26" t="str">
        <f t="shared" si="1"/>
        <v/>
      </c>
    </row>
    <row r="27" spans="2:5" x14ac:dyDescent="0.35">
      <c r="B27" s="125"/>
      <c r="C27" s="50" t="str">
        <f ca="1">IF(B27="","",NPV(C$4,OFFSET('Cash Flow of Project'!D27,0,0,1,10))/ABS('NPV Project'!C27))</f>
        <v/>
      </c>
      <c r="D27" s="28" t="str">
        <f t="shared" si="0"/>
        <v/>
      </c>
      <c r="E27" t="str">
        <f t="shared" si="1"/>
        <v/>
      </c>
    </row>
    <row r="28" spans="2:5" x14ac:dyDescent="0.35">
      <c r="B28" s="125"/>
      <c r="C28" s="50" t="str">
        <f ca="1">IF(B28="","",NPV(C$4,OFFSET('Cash Flow of Project'!D28,0,0,1,10))/ABS('NPV Project'!C28))</f>
        <v/>
      </c>
      <c r="D28" s="28" t="str">
        <f t="shared" si="0"/>
        <v/>
      </c>
      <c r="E28" t="str">
        <f t="shared" si="1"/>
        <v/>
      </c>
    </row>
    <row r="29" spans="2:5" x14ac:dyDescent="0.35">
      <c r="B29" s="125"/>
      <c r="C29" s="50" t="str">
        <f ca="1">IF(B29="","",NPV(C$4,OFFSET('Cash Flow of Project'!D29,0,0,1,10))/ABS('NPV Project'!C29))</f>
        <v/>
      </c>
      <c r="D29" s="28" t="str">
        <f t="shared" si="0"/>
        <v/>
      </c>
      <c r="E29" t="str">
        <f t="shared" si="1"/>
        <v/>
      </c>
    </row>
    <row r="30" spans="2:5" x14ac:dyDescent="0.35">
      <c r="B30" s="125"/>
      <c r="C30" s="50" t="str">
        <f ca="1">IF(B30="","",NPV(C$4,OFFSET('Cash Flow of Project'!D30,0,0,1,10))/ABS('NPV Project'!C30))</f>
        <v/>
      </c>
      <c r="D30" s="28" t="str">
        <f t="shared" si="0"/>
        <v/>
      </c>
      <c r="E30" t="str">
        <f t="shared" si="1"/>
        <v/>
      </c>
    </row>
    <row r="31" spans="2:5" x14ac:dyDescent="0.35">
      <c r="B31" s="125"/>
      <c r="C31" s="50" t="str">
        <f ca="1">IF(B31="","",NPV(C$4,OFFSET('Cash Flow of Project'!D31,0,0,1,10))/ABS('NPV Project'!C31))</f>
        <v/>
      </c>
      <c r="D31" s="28" t="str">
        <f t="shared" si="0"/>
        <v/>
      </c>
      <c r="E31" t="str">
        <f t="shared" si="1"/>
        <v/>
      </c>
    </row>
    <row r="32" spans="2:5" x14ac:dyDescent="0.35">
      <c r="B32" s="125"/>
      <c r="C32" s="50" t="str">
        <f ca="1">IF(B32="","",NPV(C$4,OFFSET('Cash Flow of Project'!D32,0,0,1,10))/ABS('NPV Project'!C32))</f>
        <v/>
      </c>
      <c r="D32" s="28" t="str">
        <f t="shared" si="0"/>
        <v/>
      </c>
      <c r="E32" t="str">
        <f t="shared" si="1"/>
        <v/>
      </c>
    </row>
    <row r="33" spans="2:5" x14ac:dyDescent="0.35">
      <c r="B33" s="125"/>
      <c r="C33" s="50" t="str">
        <f ca="1">IF(B33="","",NPV(C$4,OFFSET('Cash Flow of Project'!D33,0,0,1,10))/ABS('NPV Project'!C33))</f>
        <v/>
      </c>
      <c r="D33" s="28" t="str">
        <f t="shared" si="0"/>
        <v/>
      </c>
      <c r="E33" t="str">
        <f t="shared" si="1"/>
        <v/>
      </c>
    </row>
    <row r="34" spans="2:5" x14ac:dyDescent="0.35">
      <c r="B34" s="125"/>
      <c r="C34" s="50" t="str">
        <f ca="1">IF(B34="","",NPV(C$4,OFFSET('Cash Flow of Project'!D34,0,0,1,10))/ABS('NPV Project'!C34))</f>
        <v/>
      </c>
      <c r="D34" s="28" t="str">
        <f t="shared" si="0"/>
        <v/>
      </c>
      <c r="E34" t="str">
        <f t="shared" si="1"/>
        <v/>
      </c>
    </row>
    <row r="35" spans="2:5" x14ac:dyDescent="0.35">
      <c r="B35" s="125"/>
      <c r="C35" s="50" t="str">
        <f ca="1">IF(B35="","",NPV(C$4,OFFSET('Cash Flow of Project'!D35,0,0,1,10))/ABS('NPV Project'!C35))</f>
        <v/>
      </c>
      <c r="D35" s="28" t="str">
        <f t="shared" si="0"/>
        <v/>
      </c>
      <c r="E35" t="str">
        <f t="shared" si="1"/>
        <v/>
      </c>
    </row>
    <row r="36" spans="2:5" x14ac:dyDescent="0.35">
      <c r="B36" s="125"/>
      <c r="C36" s="50" t="str">
        <f ca="1">IF(B36="","",NPV(C$4,OFFSET('Cash Flow of Project'!D36,0,0,1,10))/ABS('NPV Project'!C36))</f>
        <v/>
      </c>
      <c r="D36" s="28" t="str">
        <f t="shared" si="0"/>
        <v/>
      </c>
      <c r="E36" t="str">
        <f t="shared" si="1"/>
        <v/>
      </c>
    </row>
    <row r="37" spans="2:5" x14ac:dyDescent="0.35">
      <c r="B37" s="125"/>
      <c r="C37" s="50" t="str">
        <f ca="1">IF(B37="","",NPV(C$4,OFFSET('Cash Flow of Project'!D37,0,0,1,10))/ABS('NPV Project'!C37))</f>
        <v/>
      </c>
      <c r="D37" s="28" t="str">
        <f t="shared" si="0"/>
        <v/>
      </c>
      <c r="E37" t="str">
        <f t="shared" si="1"/>
        <v/>
      </c>
    </row>
    <row r="38" spans="2:5" x14ac:dyDescent="0.35">
      <c r="B38" s="125"/>
      <c r="C38" s="50" t="str">
        <f ca="1">IF(B38="","",NPV(C$4,OFFSET('Cash Flow of Project'!D38,0,0,1,10))/ABS('NPV Project'!C38))</f>
        <v/>
      </c>
      <c r="D38" s="28" t="str">
        <f t="shared" si="0"/>
        <v/>
      </c>
      <c r="E38" t="str">
        <f t="shared" si="1"/>
        <v/>
      </c>
    </row>
    <row r="39" spans="2:5" x14ac:dyDescent="0.35">
      <c r="B39" s="125"/>
      <c r="C39" s="50" t="str">
        <f ca="1">IF(B39="","",NPV(C$4,OFFSET('Cash Flow of Project'!D39,0,0,1,10))/ABS('NPV Project'!C39))</f>
        <v/>
      </c>
      <c r="D39" s="28" t="str">
        <f t="shared" si="0"/>
        <v/>
      </c>
      <c r="E39" t="str">
        <f t="shared" si="1"/>
        <v/>
      </c>
    </row>
    <row r="40" spans="2:5" x14ac:dyDescent="0.35">
      <c r="B40" s="125"/>
      <c r="C40" s="50" t="str">
        <f ca="1">IF(B40="","",NPV(C$4,OFFSET('Cash Flow of Project'!D40,0,0,1,10))/ABS('NPV Project'!C40))</f>
        <v/>
      </c>
      <c r="D40" s="28" t="str">
        <f t="shared" si="0"/>
        <v/>
      </c>
      <c r="E40" t="str">
        <f t="shared" si="1"/>
        <v/>
      </c>
    </row>
    <row r="41" spans="2:5" x14ac:dyDescent="0.35">
      <c r="B41" s="125"/>
      <c r="C41" s="50" t="str">
        <f ca="1">IF(B41="","",NPV(C$4,OFFSET('Cash Flow of Project'!D41,0,0,1,10))/ABS('NPV Project'!C41))</f>
        <v/>
      </c>
      <c r="D41" s="28" t="str">
        <f t="shared" si="0"/>
        <v/>
      </c>
      <c r="E41" t="str">
        <f t="shared" si="1"/>
        <v/>
      </c>
    </row>
    <row r="42" spans="2:5" x14ac:dyDescent="0.35">
      <c r="B42" s="125"/>
      <c r="C42" s="50" t="str">
        <f ca="1">IF(B42="","",NPV(C$4,OFFSET('Cash Flow of Project'!D42,0,0,1,10))/ABS('NPV Project'!C42))</f>
        <v/>
      </c>
      <c r="D42" s="28" t="str">
        <f t="shared" si="0"/>
        <v/>
      </c>
      <c r="E42" t="str">
        <f t="shared" si="1"/>
        <v/>
      </c>
    </row>
    <row r="43" spans="2:5" x14ac:dyDescent="0.35">
      <c r="B43" s="125"/>
      <c r="C43" s="50" t="str">
        <f ca="1">IF(B43="","",NPV(C$4,OFFSET('Cash Flow of Project'!D43,0,0,1,10))/ABS('NPV Project'!C43))</f>
        <v/>
      </c>
      <c r="D43" s="28" t="str">
        <f t="shared" si="0"/>
        <v/>
      </c>
      <c r="E43" t="str">
        <f t="shared" si="1"/>
        <v/>
      </c>
    </row>
    <row r="44" spans="2:5" x14ac:dyDescent="0.35">
      <c r="B44" s="125"/>
      <c r="C44" s="50" t="str">
        <f ca="1">IF(B44="","",NPV(C$4,OFFSET('Cash Flow of Project'!D44,0,0,1,10))/ABS('NPV Project'!C44))</f>
        <v/>
      </c>
      <c r="D44" s="28" t="str">
        <f t="shared" si="0"/>
        <v/>
      </c>
      <c r="E44" t="str">
        <f t="shared" si="1"/>
        <v/>
      </c>
    </row>
    <row r="45" spans="2:5" x14ac:dyDescent="0.35">
      <c r="B45" s="125"/>
      <c r="C45" s="50" t="str">
        <f ca="1">IF(B45="","",NPV(C$4,OFFSET('Cash Flow of Project'!D45,0,0,1,10))/ABS('NPV Project'!C45))</f>
        <v/>
      </c>
      <c r="D45" s="28" t="str">
        <f t="shared" si="0"/>
        <v/>
      </c>
      <c r="E45" t="str">
        <f t="shared" si="1"/>
        <v/>
      </c>
    </row>
    <row r="46" spans="2:5" x14ac:dyDescent="0.35">
      <c r="B46" s="125"/>
      <c r="C46" s="50" t="str">
        <f ca="1">IF(B46="","",NPV(C$4,OFFSET('Cash Flow of Project'!D46,0,0,1,10))/ABS('NPV Project'!C46))</f>
        <v/>
      </c>
      <c r="D46" s="28" t="str">
        <f t="shared" si="0"/>
        <v/>
      </c>
      <c r="E46" t="str">
        <f t="shared" si="1"/>
        <v/>
      </c>
    </row>
    <row r="47" spans="2:5" x14ac:dyDescent="0.35">
      <c r="B47" s="125"/>
      <c r="C47" s="50" t="str">
        <f ca="1">IF(B47="","",NPV(C$4,OFFSET('Cash Flow of Project'!D47,0,0,1,10))/ABS('NPV Project'!C47))</f>
        <v/>
      </c>
      <c r="D47" s="28" t="str">
        <f t="shared" si="0"/>
        <v/>
      </c>
    </row>
    <row r="48" spans="2:5" x14ac:dyDescent="0.35">
      <c r="B48" s="125"/>
      <c r="C48" s="50" t="str">
        <f ca="1">IF(B48="","",NPV(C$4,OFFSET('Cash Flow of Project'!D48,0,0,1,10))/ABS('NPV Project'!C48))</f>
        <v/>
      </c>
      <c r="D48" s="28" t="str">
        <f t="shared" si="0"/>
        <v/>
      </c>
    </row>
    <row r="49" spans="2:4" x14ac:dyDescent="0.35">
      <c r="B49" s="125"/>
      <c r="C49" s="50" t="str">
        <f ca="1">IF(B49="","",NPV(C$4,OFFSET('Cash Flow of Project'!D49,0,0,1,10))/ABS('NPV Project'!C49))</f>
        <v/>
      </c>
      <c r="D49" s="28" t="str">
        <f t="shared" si="0"/>
        <v/>
      </c>
    </row>
    <row r="50" spans="2:4" x14ac:dyDescent="0.35">
      <c r="B50" s="125"/>
      <c r="C50" s="50" t="str">
        <f ca="1">IF(B50="","",NPV(C$4,OFFSET('Cash Flow of Project'!D50,0,0,1,10))/ABS('NPV Project'!C50))</f>
        <v/>
      </c>
      <c r="D50" s="28" t="str">
        <f t="shared" si="0"/>
        <v/>
      </c>
    </row>
    <row r="51" spans="2:4" x14ac:dyDescent="0.35">
      <c r="B51" s="125"/>
      <c r="C51" s="50" t="str">
        <f ca="1">IF(B51="","",NPV(C$4,OFFSET('Cash Flow of Project'!D51,0,0,1,10))/ABS('NPV Project'!C51))</f>
        <v/>
      </c>
      <c r="D51" s="28" t="str">
        <f t="shared" si="0"/>
        <v/>
      </c>
    </row>
    <row r="52" spans="2:4" x14ac:dyDescent="0.35">
      <c r="B52" s="125"/>
      <c r="C52" s="50" t="str">
        <f ca="1">IF(B52="","",NPV(C$4,OFFSET('Cash Flow of Project'!D52,0,0,1,10))/ABS('NPV Project'!C52))</f>
        <v/>
      </c>
      <c r="D52" s="28" t="str">
        <f t="shared" si="0"/>
        <v/>
      </c>
    </row>
    <row r="53" spans="2:4" x14ac:dyDescent="0.35">
      <c r="B53" s="125"/>
      <c r="C53" s="50" t="str">
        <f ca="1">IF(B53="","",NPV(C$4,OFFSET('Cash Flow of Project'!D53,0,0,1,10))/ABS('NPV Project'!C53))</f>
        <v/>
      </c>
      <c r="D53" s="28" t="str">
        <f t="shared" si="0"/>
        <v/>
      </c>
    </row>
    <row r="54" spans="2:4" x14ac:dyDescent="0.35">
      <c r="B54" s="125"/>
      <c r="C54" s="50" t="str">
        <f ca="1">IF(B54="","",NPV(C$4,OFFSET('Cash Flow of Project'!D54,0,0,1,10))/ABS('NPV Project'!C54))</f>
        <v/>
      </c>
      <c r="D54" s="28" t="str">
        <f t="shared" si="0"/>
        <v/>
      </c>
    </row>
    <row r="55" spans="2:4" x14ac:dyDescent="0.35">
      <c r="B55" s="125"/>
      <c r="C55" s="50" t="str">
        <f ca="1">IF(B55="","",NPV(C$4,OFFSET('Cash Flow of Project'!D55,0,0,1,10))/ABS('NPV Project'!C55))</f>
        <v/>
      </c>
      <c r="D55" s="28" t="str">
        <f t="shared" si="0"/>
        <v/>
      </c>
    </row>
    <row r="56" spans="2:4" x14ac:dyDescent="0.35">
      <c r="B56" s="125"/>
      <c r="C56" s="50" t="str">
        <f ca="1">IF(B56="","",NPV(C$4,OFFSET('Cash Flow of Project'!D56,0,0,1,10))/ABS('NPV Project'!C56))</f>
        <v/>
      </c>
      <c r="D56" s="28" t="str">
        <f t="shared" si="0"/>
        <v/>
      </c>
    </row>
    <row r="57" spans="2:4" x14ac:dyDescent="0.35">
      <c r="B57" s="125"/>
      <c r="C57" s="50" t="str">
        <f ca="1">IF(B57="","",NPV(C$4,OFFSET('Cash Flow of Project'!D57,0,0,1,10))/ABS('NPV Project'!C57))</f>
        <v/>
      </c>
      <c r="D57" s="28" t="str">
        <f t="shared" si="0"/>
        <v/>
      </c>
    </row>
    <row r="58" spans="2:4" x14ac:dyDescent="0.35">
      <c r="B58" s="125"/>
      <c r="C58" s="50" t="str">
        <f ca="1">IF(B58="","",NPV(C$4,OFFSET('Cash Flow of Project'!D58,0,0,1,10))/ABS('NPV Project'!C58))</f>
        <v/>
      </c>
      <c r="D58" s="28" t="str">
        <f t="shared" si="0"/>
        <v/>
      </c>
    </row>
    <row r="59" spans="2:4" x14ac:dyDescent="0.35">
      <c r="B59" s="125"/>
      <c r="C59" s="50" t="str">
        <f ca="1">IF(B59="","",NPV(C$4,OFFSET('Cash Flow of Project'!D59,0,0,1,10))/ABS('NPV Project'!C59))</f>
        <v/>
      </c>
      <c r="D59" s="28" t="str">
        <f t="shared" si="0"/>
        <v/>
      </c>
    </row>
    <row r="60" spans="2:4" x14ac:dyDescent="0.35">
      <c r="B60" s="125"/>
      <c r="C60" s="50" t="str">
        <f ca="1">IF(B60="","",NPV(C$4,OFFSET('Cash Flow of Project'!D60,0,0,1,10))/ABS('NPV Project'!C60))</f>
        <v/>
      </c>
      <c r="D60" s="28" t="str">
        <f t="shared" si="0"/>
        <v/>
      </c>
    </row>
    <row r="61" spans="2:4" x14ac:dyDescent="0.35">
      <c r="B61" s="125"/>
      <c r="C61" s="50" t="str">
        <f ca="1">IF(B61="","",NPV(C$4,OFFSET('Cash Flow of Project'!D61,0,0,1,10))/ABS('NPV Project'!C61))</f>
        <v/>
      </c>
      <c r="D61" s="28" t="str">
        <f t="shared" si="0"/>
        <v/>
      </c>
    </row>
    <row r="62" spans="2:4" x14ac:dyDescent="0.35">
      <c r="B62" s="125"/>
      <c r="C62" s="50" t="str">
        <f ca="1">IF(B62="","",NPV(C$4,OFFSET('Cash Flow of Project'!D62,0,0,1,10))/ABS('NPV Project'!C62))</f>
        <v/>
      </c>
      <c r="D62" s="28" t="str">
        <f t="shared" si="0"/>
        <v/>
      </c>
    </row>
    <row r="63" spans="2:4" x14ac:dyDescent="0.35">
      <c r="B63" s="125"/>
      <c r="C63" s="50" t="str">
        <f ca="1">IF(B63="","",NPV(C$4,OFFSET('Cash Flow of Project'!D63,0,0,1,10))/ABS('NPV Project'!C63))</f>
        <v/>
      </c>
      <c r="D63" s="28" t="str">
        <f t="shared" si="0"/>
        <v/>
      </c>
    </row>
    <row r="64" spans="2:4" x14ac:dyDescent="0.35">
      <c r="B64" s="125"/>
      <c r="C64" s="50" t="str">
        <f ca="1">IF(B64="","",NPV(C$4,OFFSET('Cash Flow of Project'!D64,0,0,1,10))/ABS('NPV Project'!C64))</f>
        <v/>
      </c>
      <c r="D64" s="28" t="str">
        <f t="shared" si="0"/>
        <v/>
      </c>
    </row>
    <row r="65" spans="2:4" x14ac:dyDescent="0.35">
      <c r="B65" s="125"/>
      <c r="C65" s="50" t="str">
        <f ca="1">IF(B65="","",NPV(C$4,OFFSET('Cash Flow of Project'!D65,0,0,1,10))/ABS('NPV Project'!C65))</f>
        <v/>
      </c>
      <c r="D65" s="28" t="str">
        <f t="shared" si="0"/>
        <v/>
      </c>
    </row>
    <row r="66" spans="2:4" x14ac:dyDescent="0.35">
      <c r="B66" s="125"/>
      <c r="C66" s="50" t="str">
        <f ca="1">IF(B66="","",NPV(C$4,OFFSET('Cash Flow of Project'!D66,0,0,1,10))/ABS('NPV Project'!C66))</f>
        <v/>
      </c>
      <c r="D66" s="28" t="str">
        <f t="shared" si="0"/>
        <v/>
      </c>
    </row>
    <row r="67" spans="2:4" x14ac:dyDescent="0.35">
      <c r="B67" s="125"/>
      <c r="C67" s="50" t="str">
        <f ca="1">IF(B67="","",NPV(C$4,OFFSET('Cash Flow of Project'!D67,0,0,1,10))/ABS('NPV Project'!C67))</f>
        <v/>
      </c>
      <c r="D67" s="28" t="str">
        <f t="shared" si="0"/>
        <v/>
      </c>
    </row>
    <row r="68" spans="2:4" x14ac:dyDescent="0.35">
      <c r="B68" s="125"/>
      <c r="C68" s="50" t="str">
        <f ca="1">IF(B68="","",NPV(C$4,OFFSET('Cash Flow of Project'!D68,0,0,1,10))/ABS('NPV Project'!C68))</f>
        <v/>
      </c>
      <c r="D68" s="28" t="str">
        <f t="shared" si="0"/>
        <v/>
      </c>
    </row>
    <row r="69" spans="2:4" x14ac:dyDescent="0.35">
      <c r="B69" s="125"/>
      <c r="C69" s="50" t="str">
        <f ca="1">IF(B69="","",NPV(C$4,OFFSET('Cash Flow of Project'!D69,0,0,1,10))/ABS('NPV Project'!C69))</f>
        <v/>
      </c>
      <c r="D69" s="28" t="str">
        <f t="shared" si="0"/>
        <v/>
      </c>
    </row>
    <row r="70" spans="2:4" x14ac:dyDescent="0.35">
      <c r="B70" s="125"/>
      <c r="C70" s="50" t="str">
        <f ca="1">IF(B70="","",NPV(C$4,OFFSET('Cash Flow of Project'!D70,0,0,1,10))/ABS('NPV Project'!C70))</f>
        <v/>
      </c>
      <c r="D70" s="28" t="str">
        <f t="shared" si="0"/>
        <v/>
      </c>
    </row>
    <row r="71" spans="2:4" x14ac:dyDescent="0.35">
      <c r="B71" s="125"/>
      <c r="C71" s="50" t="str">
        <f ca="1">IF(B71="","",NPV(C$4,OFFSET('Cash Flow of Project'!D71,0,0,1,10))/ABS('NPV Project'!C71))</f>
        <v/>
      </c>
      <c r="D71" s="28" t="str">
        <f t="shared" si="0"/>
        <v/>
      </c>
    </row>
    <row r="72" spans="2:4" x14ac:dyDescent="0.35">
      <c r="B72" s="125"/>
      <c r="C72" s="50" t="str">
        <f ca="1">IF(B72="","",NPV(C$4,OFFSET('Cash Flow of Project'!D72,0,0,1,10))/ABS('NPV Project'!C72))</f>
        <v/>
      </c>
      <c r="D72" s="28" t="str">
        <f t="shared" si="0"/>
        <v/>
      </c>
    </row>
    <row r="73" spans="2:4" x14ac:dyDescent="0.35">
      <c r="B73" s="125"/>
      <c r="C73" s="50" t="str">
        <f ca="1">IF(B73="","",NPV(C$4,OFFSET('Cash Flow of Project'!D73,0,0,1,10))/ABS('NPV Project'!C73))</f>
        <v/>
      </c>
      <c r="D73" s="28" t="str">
        <f t="shared" ref="D73:D99" si="2">IF(B73="","",IF(C73&gt;1,"Yes Accepted","No Rejected"))</f>
        <v/>
      </c>
    </row>
    <row r="74" spans="2:4" x14ac:dyDescent="0.35">
      <c r="B74" s="125"/>
      <c r="C74" s="50" t="str">
        <f ca="1">IF(B74="","",NPV(C$4,OFFSET('Cash Flow of Project'!D74,0,0,1,10))/ABS('NPV Project'!C74))</f>
        <v/>
      </c>
      <c r="D74" s="28" t="str">
        <f t="shared" si="2"/>
        <v/>
      </c>
    </row>
    <row r="75" spans="2:4" x14ac:dyDescent="0.35">
      <c r="B75" s="125"/>
      <c r="C75" s="50" t="str">
        <f ca="1">IF(B75="","",NPV(C$4,OFFSET('Cash Flow of Project'!D75,0,0,1,10))/ABS('NPV Project'!C75))</f>
        <v/>
      </c>
      <c r="D75" s="28" t="str">
        <f t="shared" si="2"/>
        <v/>
      </c>
    </row>
    <row r="76" spans="2:4" x14ac:dyDescent="0.35">
      <c r="B76" s="125"/>
      <c r="C76" s="50" t="str">
        <f ca="1">IF(B76="","",NPV(C$4,OFFSET('Cash Flow of Project'!D76,0,0,1,10))/ABS('NPV Project'!C76))</f>
        <v/>
      </c>
      <c r="D76" s="28" t="str">
        <f t="shared" si="2"/>
        <v/>
      </c>
    </row>
    <row r="77" spans="2:4" x14ac:dyDescent="0.35">
      <c r="B77" s="125"/>
      <c r="C77" s="50" t="str">
        <f ca="1">IF(B77="","",NPV(C$4,OFFSET('Cash Flow of Project'!D77,0,0,1,10))/ABS('NPV Project'!C77))</f>
        <v/>
      </c>
      <c r="D77" s="28" t="str">
        <f t="shared" si="2"/>
        <v/>
      </c>
    </row>
    <row r="78" spans="2:4" x14ac:dyDescent="0.35">
      <c r="B78" s="125"/>
      <c r="C78" s="50" t="str">
        <f ca="1">IF(B78="","",NPV(C$4,OFFSET('Cash Flow of Project'!D78,0,0,1,10))/ABS('NPV Project'!C78))</f>
        <v/>
      </c>
      <c r="D78" s="28" t="str">
        <f t="shared" si="2"/>
        <v/>
      </c>
    </row>
    <row r="79" spans="2:4" x14ac:dyDescent="0.35">
      <c r="B79" s="125"/>
      <c r="C79" s="50" t="str">
        <f ca="1">IF(B79="","",NPV(C$4,OFFSET('Cash Flow of Project'!D79,0,0,1,10))/ABS('NPV Project'!C79))</f>
        <v/>
      </c>
      <c r="D79" s="28" t="str">
        <f t="shared" si="2"/>
        <v/>
      </c>
    </row>
    <row r="80" spans="2:4" x14ac:dyDescent="0.35">
      <c r="B80" s="125"/>
      <c r="C80" s="50" t="str">
        <f ca="1">IF(B80="","",NPV(C$4,OFFSET('Cash Flow of Project'!D80,0,0,1,10))/ABS('NPV Project'!C80))</f>
        <v/>
      </c>
      <c r="D80" s="28" t="str">
        <f t="shared" si="2"/>
        <v/>
      </c>
    </row>
    <row r="81" spans="2:4" x14ac:dyDescent="0.35">
      <c r="B81" s="125"/>
      <c r="C81" s="50" t="str">
        <f ca="1">IF(B81="","",NPV(C$4,OFFSET('Cash Flow of Project'!D81,0,0,1,10))/ABS('NPV Project'!C81))</f>
        <v/>
      </c>
      <c r="D81" s="28" t="str">
        <f t="shared" si="2"/>
        <v/>
      </c>
    </row>
    <row r="82" spans="2:4" x14ac:dyDescent="0.35">
      <c r="B82" s="125"/>
      <c r="C82" s="50" t="str">
        <f ca="1">IF(B82="","",NPV(C$4,OFFSET('Cash Flow of Project'!D82,0,0,1,10))/ABS('NPV Project'!C82))</f>
        <v/>
      </c>
      <c r="D82" s="28" t="str">
        <f t="shared" si="2"/>
        <v/>
      </c>
    </row>
    <row r="83" spans="2:4" x14ac:dyDescent="0.35">
      <c r="B83" s="125"/>
      <c r="C83" s="50" t="str">
        <f ca="1">IF(B83="","",NPV(C$4,OFFSET('Cash Flow of Project'!D83,0,0,1,10))/ABS('NPV Project'!C83))</f>
        <v/>
      </c>
      <c r="D83" s="28" t="str">
        <f t="shared" si="2"/>
        <v/>
      </c>
    </row>
    <row r="84" spans="2:4" x14ac:dyDescent="0.35">
      <c r="B84" s="125"/>
      <c r="C84" s="50" t="str">
        <f ca="1">IF(B84="","",NPV(C$4,OFFSET('Cash Flow of Project'!D84,0,0,1,10))/ABS('NPV Project'!C84))</f>
        <v/>
      </c>
      <c r="D84" s="28" t="str">
        <f t="shared" si="2"/>
        <v/>
      </c>
    </row>
    <row r="85" spans="2:4" x14ac:dyDescent="0.35">
      <c r="B85" s="125"/>
      <c r="C85" s="50" t="str">
        <f ca="1">IF(B85="","",NPV(C$4,OFFSET('Cash Flow of Project'!D85,0,0,1,10))/ABS('NPV Project'!C85))</f>
        <v/>
      </c>
      <c r="D85" s="28" t="str">
        <f t="shared" si="2"/>
        <v/>
      </c>
    </row>
    <row r="86" spans="2:4" x14ac:dyDescent="0.35">
      <c r="B86" s="125"/>
      <c r="C86" s="50" t="str">
        <f ca="1">IF(B86="","",NPV(C$4,OFFSET('Cash Flow of Project'!D86,0,0,1,10))/ABS('NPV Project'!C86))</f>
        <v/>
      </c>
      <c r="D86" s="28" t="str">
        <f t="shared" si="2"/>
        <v/>
      </c>
    </row>
    <row r="87" spans="2:4" x14ac:dyDescent="0.35">
      <c r="B87" s="125"/>
      <c r="C87" s="50" t="str">
        <f ca="1">IF(B87="","",NPV(C$4,OFFSET('Cash Flow of Project'!D87,0,0,1,10))/ABS('NPV Project'!C87))</f>
        <v/>
      </c>
      <c r="D87" s="28" t="str">
        <f t="shared" si="2"/>
        <v/>
      </c>
    </row>
    <row r="88" spans="2:4" x14ac:dyDescent="0.35">
      <c r="B88" s="125"/>
      <c r="C88" s="50" t="str">
        <f ca="1">IF(B88="","",NPV(C$4,OFFSET('Cash Flow of Project'!D88,0,0,1,10))/ABS('NPV Project'!C88))</f>
        <v/>
      </c>
      <c r="D88" s="28" t="str">
        <f t="shared" si="2"/>
        <v/>
      </c>
    </row>
    <row r="89" spans="2:4" x14ac:dyDescent="0.35">
      <c r="B89" s="125"/>
      <c r="C89" s="50" t="str">
        <f ca="1">IF(B89="","",NPV(C$4,OFFSET('Cash Flow of Project'!D89,0,0,1,10))/ABS('NPV Project'!C89))</f>
        <v/>
      </c>
      <c r="D89" s="28" t="str">
        <f t="shared" si="2"/>
        <v/>
      </c>
    </row>
    <row r="90" spans="2:4" x14ac:dyDescent="0.35">
      <c r="B90" s="125"/>
      <c r="C90" s="50" t="str">
        <f ca="1">IF(B90="","",NPV(C$4,OFFSET('Cash Flow of Project'!D90,0,0,1,10))/ABS('NPV Project'!C90))</f>
        <v/>
      </c>
      <c r="D90" s="28" t="str">
        <f t="shared" si="2"/>
        <v/>
      </c>
    </row>
    <row r="91" spans="2:4" x14ac:dyDescent="0.35">
      <c r="B91" s="125"/>
      <c r="C91" s="50" t="str">
        <f ca="1">IF(B91="","",NPV(C$4,OFFSET('Cash Flow of Project'!D91,0,0,1,10))/ABS('NPV Project'!C91))</f>
        <v/>
      </c>
      <c r="D91" s="28" t="str">
        <f t="shared" si="2"/>
        <v/>
      </c>
    </row>
    <row r="92" spans="2:4" x14ac:dyDescent="0.35">
      <c r="B92" s="125"/>
      <c r="C92" s="50" t="str">
        <f ca="1">IF(B92="","",NPV(C$4,OFFSET('Cash Flow of Project'!D92,0,0,1,10))/ABS('NPV Project'!C92))</f>
        <v/>
      </c>
      <c r="D92" s="28" t="str">
        <f t="shared" si="2"/>
        <v/>
      </c>
    </row>
    <row r="93" spans="2:4" x14ac:dyDescent="0.35">
      <c r="B93" s="125"/>
      <c r="C93" s="50" t="str">
        <f ca="1">IF(B93="","",NPV(C$4,OFFSET('Cash Flow of Project'!D93,0,0,1,10))/ABS('NPV Project'!C93))</f>
        <v/>
      </c>
      <c r="D93" s="28" t="str">
        <f t="shared" si="2"/>
        <v/>
      </c>
    </row>
    <row r="94" spans="2:4" x14ac:dyDescent="0.35">
      <c r="B94" s="125"/>
      <c r="C94" s="50" t="str">
        <f ca="1">IF(B94="","",NPV(C$4,OFFSET('Cash Flow of Project'!D94,0,0,1,10))/ABS('NPV Project'!C94))</f>
        <v/>
      </c>
      <c r="D94" s="28" t="str">
        <f t="shared" si="2"/>
        <v/>
      </c>
    </row>
    <row r="95" spans="2:4" x14ac:dyDescent="0.35">
      <c r="B95" s="125"/>
      <c r="C95" s="50" t="str">
        <f ca="1">IF(B95="","",NPV(C$4,OFFSET('Cash Flow of Project'!D95,0,0,1,10))/ABS('NPV Project'!C95))</f>
        <v/>
      </c>
      <c r="D95" s="28" t="str">
        <f t="shared" si="2"/>
        <v/>
      </c>
    </row>
    <row r="96" spans="2:4" x14ac:dyDescent="0.35">
      <c r="C96" s="50" t="str">
        <f ca="1">IF(B96="","",NPV(C$4,OFFSET('Cash Flow of Project'!D96,0,0,1,10))/ABS('NPV Project'!C96))</f>
        <v/>
      </c>
      <c r="D96" s="28" t="str">
        <f t="shared" si="2"/>
        <v/>
      </c>
    </row>
    <row r="97" spans="3:4" x14ac:dyDescent="0.35">
      <c r="C97" s="50" t="str">
        <f ca="1">IF(B97="","",NPV(C$4,OFFSET('Cash Flow of Project'!D97,0,0,1,10))/ABS('NPV Project'!C97))</f>
        <v/>
      </c>
      <c r="D97" s="28" t="str">
        <f t="shared" si="2"/>
        <v/>
      </c>
    </row>
    <row r="98" spans="3:4" x14ac:dyDescent="0.35">
      <c r="C98" s="50" t="str">
        <f ca="1">IF(B98="","",NPV(C$4,OFFSET('Cash Flow of Project'!D98,0,0,1,10))/ABS('NPV Project'!C98))</f>
        <v/>
      </c>
      <c r="D98" s="28" t="str">
        <f t="shared" si="2"/>
        <v/>
      </c>
    </row>
    <row r="99" spans="3:4" x14ac:dyDescent="0.35">
      <c r="C99" s="50" t="str">
        <f ca="1">IF(B99="","",NPV(C$4,OFFSET('Cash Flow of Project'!D99,0,0,1,10))/ABS('NPV Project'!C99))</f>
        <v/>
      </c>
      <c r="D99" s="28" t="str">
        <f t="shared" si="2"/>
        <v/>
      </c>
    </row>
    <row r="100" spans="3:4" x14ac:dyDescent="0.35">
      <c r="C100" s="50" t="str">
        <f ca="1">IF(B100="","",NPV(C$4,OFFSET('Cash Flow of Project'!D100,0,0,1,10))/ABS('NPV Project'!C100))</f>
        <v/>
      </c>
    </row>
    <row r="101" spans="3:4" x14ac:dyDescent="0.35">
      <c r="C101" s="50" t="str">
        <f ca="1">IF(B101="","",NPV(C$4,OFFSET('Cash Flow of Project'!D101,0,0,1,10))/ABS('NPV Project'!C101))</f>
        <v/>
      </c>
    </row>
    <row r="102" spans="3:4" x14ac:dyDescent="0.35">
      <c r="C102" s="50" t="str">
        <f ca="1">IF(B102="","",NPV(C$4,OFFSET('Cash Flow of Project'!D102,0,0,1,10))/ABS('NPV Project'!C102))</f>
        <v/>
      </c>
    </row>
    <row r="103" spans="3:4" x14ac:dyDescent="0.35">
      <c r="C103" s="50" t="str">
        <f ca="1">IF(B103="","",NPV(C$4,OFFSET('Cash Flow of Project'!D103,0,0,1,10))/ABS('NPV Project'!C103))</f>
        <v/>
      </c>
    </row>
    <row r="104" spans="3:4" x14ac:dyDescent="0.35">
      <c r="C104" s="50" t="str">
        <f ca="1">IF(B104="","",NPV(C$4,OFFSET('Cash Flow of Project'!D104,0,0,1,10))/ABS('NPV Project'!C104))</f>
        <v/>
      </c>
    </row>
    <row r="105" spans="3:4" x14ac:dyDescent="0.35">
      <c r="C105" s="50" t="str">
        <f ca="1">IF(B105="","",NPV(C$4,OFFSET('Cash Flow of Project'!D105,0,0,1,10))/ABS('NPV Project'!C105))</f>
        <v/>
      </c>
    </row>
    <row r="106" spans="3:4" x14ac:dyDescent="0.35">
      <c r="C106" s="50" t="str">
        <f ca="1">IF(B106="","",NPV(C$4,OFFSET('Cash Flow of Project'!D106,0,0,1,10))/ABS('NPV Project'!C106))</f>
        <v/>
      </c>
    </row>
    <row r="107" spans="3:4" x14ac:dyDescent="0.35">
      <c r="C107" s="50" t="str">
        <f ca="1">IF(B107="","",NPV(C$4,OFFSET('Cash Flow of Project'!D107,0,0,1,10))/ABS('NPV Project'!C107))</f>
        <v/>
      </c>
    </row>
  </sheetData>
  <mergeCells count="3">
    <mergeCell ref="B2:C2"/>
    <mergeCell ref="E4:F4"/>
    <mergeCell ref="G8:K14"/>
  </mergeCells>
  <conditionalFormatting sqref="E8:E103">
    <cfRule type="cellIs" dxfId="7" priority="2" operator="equal">
      <formula>3</formula>
    </cfRule>
    <cfRule type="cellIs" dxfId="6" priority="3" operator="equal">
      <formula>2</formula>
    </cfRule>
    <cfRule type="cellIs" dxfId="5" priority="4" operator="equal">
      <formula>1</formula>
    </cfRule>
  </conditionalFormatting>
  <conditionalFormatting sqref="B8:B1048576">
    <cfRule type="notContainsBlanks" dxfId="4" priority="1">
      <formula>LEN(TRIM(B8))&gt;0</formula>
    </cfRule>
  </conditionalFormatting>
  <hyperlinks>
    <hyperlink ref="E4:F4" location="'Option Pricing'!A1" display="Go To Option Pricing" xr:uid="{408A97D0-72B9-4533-9B3D-3AC1CAC70933}"/>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94CB5-92A8-4515-A119-75325ED5089C}">
  <sheetPr codeName="Sheet9"/>
  <dimension ref="C3:O19"/>
  <sheetViews>
    <sheetView showGridLines="0" zoomScale="82" workbookViewId="0">
      <selection activeCell="H22" sqref="H22"/>
    </sheetView>
  </sheetViews>
  <sheetFormatPr defaultRowHeight="14.5" x14ac:dyDescent="0.35"/>
  <cols>
    <col min="3" max="3" width="12" bestFit="1" customWidth="1"/>
    <col min="4" max="4" width="28.26953125" bestFit="1" customWidth="1"/>
    <col min="5" max="5" width="18.81640625" bestFit="1" customWidth="1"/>
    <col min="9" max="9" width="12" bestFit="1" customWidth="1"/>
    <col min="11" max="11" width="28.26953125" bestFit="1" customWidth="1"/>
    <col min="12" max="12" width="17.1796875" customWidth="1"/>
    <col min="13" max="13" width="12" bestFit="1" customWidth="1"/>
  </cols>
  <sheetData>
    <row r="3" spans="3:15" ht="15" thickBot="1" x14ac:dyDescent="0.4"/>
    <row r="4" spans="3:15" ht="16" thickBot="1" x14ac:dyDescent="0.4">
      <c r="C4" s="185" t="s">
        <v>46</v>
      </c>
      <c r="D4" s="186"/>
      <c r="J4" s="185" t="s">
        <v>46</v>
      </c>
      <c r="K4" s="186"/>
    </row>
    <row r="5" spans="3:15" ht="15" thickBot="1" x14ac:dyDescent="0.4">
      <c r="C5" s="93"/>
      <c r="D5" s="187" t="s">
        <v>47</v>
      </c>
      <c r="E5" s="188"/>
      <c r="F5" s="188"/>
      <c r="G5" s="189"/>
      <c r="H5" s="94" t="s">
        <v>48</v>
      </c>
      <c r="J5" s="93"/>
      <c r="K5" s="187" t="s">
        <v>49</v>
      </c>
      <c r="L5" s="188"/>
      <c r="M5" s="188"/>
      <c r="N5" s="189"/>
      <c r="O5" s="94" t="s">
        <v>48</v>
      </c>
    </row>
    <row r="6" spans="3:15" ht="15" thickBot="1" x14ac:dyDescent="0.4">
      <c r="C6" s="4"/>
      <c r="H6" s="95" t="s">
        <v>50</v>
      </c>
      <c r="J6" s="4"/>
      <c r="O6" s="95" t="s">
        <v>50</v>
      </c>
    </row>
    <row r="7" spans="3:15" ht="15" thickBot="1" x14ac:dyDescent="0.4">
      <c r="C7" s="4"/>
      <c r="D7" s="96" t="s">
        <v>51</v>
      </c>
      <c r="H7" s="95"/>
      <c r="J7" s="4"/>
      <c r="K7" s="96" t="s">
        <v>51</v>
      </c>
      <c r="O7" s="95"/>
    </row>
    <row r="8" spans="3:15" x14ac:dyDescent="0.35">
      <c r="C8" s="4"/>
      <c r="D8" s="98" t="s">
        <v>52</v>
      </c>
      <c r="E8" s="114">
        <v>100</v>
      </c>
      <c r="H8" s="95"/>
      <c r="J8" s="4"/>
      <c r="K8" s="101" t="s">
        <v>52</v>
      </c>
      <c r="L8" s="114">
        <v>42</v>
      </c>
      <c r="O8" s="95"/>
    </row>
    <row r="9" spans="3:15" x14ac:dyDescent="0.35">
      <c r="C9" s="4"/>
      <c r="D9" s="99" t="s">
        <v>53</v>
      </c>
      <c r="E9" s="115">
        <v>95</v>
      </c>
      <c r="H9" s="95"/>
      <c r="J9" s="4"/>
      <c r="K9" s="102" t="s">
        <v>53</v>
      </c>
      <c r="L9" s="115">
        <v>40</v>
      </c>
      <c r="O9" s="95"/>
    </row>
    <row r="10" spans="3:15" x14ac:dyDescent="0.35">
      <c r="C10" s="4"/>
      <c r="D10" s="99" t="s">
        <v>54</v>
      </c>
      <c r="E10" s="119">
        <v>365</v>
      </c>
      <c r="H10" s="95"/>
      <c r="J10" s="4"/>
      <c r="K10" s="102" t="s">
        <v>55</v>
      </c>
      <c r="L10" s="116">
        <v>0.05</v>
      </c>
      <c r="O10" s="95"/>
    </row>
    <row r="11" spans="3:15" x14ac:dyDescent="0.35">
      <c r="C11" s="4" t="s">
        <v>56</v>
      </c>
      <c r="D11" s="99" t="s">
        <v>57</v>
      </c>
      <c r="E11" s="120">
        <v>0.38536639999048294</v>
      </c>
      <c r="H11" s="95"/>
      <c r="J11" s="4" t="s">
        <v>56</v>
      </c>
      <c r="K11" s="102" t="s">
        <v>58</v>
      </c>
      <c r="L11" s="117">
        <v>0.2</v>
      </c>
      <c r="O11" s="95"/>
    </row>
    <row r="12" spans="3:15" x14ac:dyDescent="0.35">
      <c r="C12" s="4"/>
      <c r="D12" s="99" t="s">
        <v>59</v>
      </c>
      <c r="E12" s="111" t="s">
        <v>50</v>
      </c>
      <c r="H12" s="95"/>
      <c r="J12" s="4"/>
      <c r="K12" s="102" t="s">
        <v>59</v>
      </c>
      <c r="L12" s="111" t="s">
        <v>48</v>
      </c>
      <c r="O12" s="95"/>
    </row>
    <row r="13" spans="3:15" ht="15" thickBot="1" x14ac:dyDescent="0.4">
      <c r="C13" s="4"/>
      <c r="D13" s="99" t="s">
        <v>60</v>
      </c>
      <c r="E13" s="116">
        <v>0.08</v>
      </c>
      <c r="H13" s="95" t="s">
        <v>61</v>
      </c>
      <c r="I13" s="141"/>
      <c r="J13" s="4"/>
      <c r="K13" s="103" t="s">
        <v>62</v>
      </c>
      <c r="L13" s="118">
        <v>50000</v>
      </c>
      <c r="O13" s="95" t="s">
        <v>61</v>
      </c>
    </row>
    <row r="14" spans="3:15" ht="15" thickBot="1" x14ac:dyDescent="0.4">
      <c r="C14" s="4"/>
      <c r="D14" s="100" t="s">
        <v>63</v>
      </c>
      <c r="E14" s="121">
        <f>0.03</f>
        <v>0.03</v>
      </c>
      <c r="H14" s="95" t="s">
        <v>64</v>
      </c>
      <c r="I14" s="141"/>
      <c r="J14" s="4"/>
      <c r="K14" s="97"/>
      <c r="L14" s="16"/>
      <c r="O14" s="95" t="s">
        <v>64</v>
      </c>
    </row>
    <row r="15" spans="3:15" ht="15" thickBot="1" x14ac:dyDescent="0.4">
      <c r="C15" s="4"/>
      <c r="D15" s="1"/>
      <c r="E15" s="16"/>
      <c r="H15" s="95"/>
      <c r="J15" s="4"/>
      <c r="K15" s="97"/>
      <c r="L15" s="16"/>
      <c r="O15" s="95"/>
    </row>
    <row r="16" spans="3:15" ht="15" thickBot="1" x14ac:dyDescent="0.4">
      <c r="C16" s="4"/>
      <c r="D16" s="96" t="s">
        <v>65</v>
      </c>
      <c r="H16" s="95"/>
      <c r="J16" s="4"/>
      <c r="K16" s="96" t="s">
        <v>65</v>
      </c>
      <c r="O16" s="5"/>
    </row>
    <row r="17" spans="3:15" ht="15" thickBot="1" x14ac:dyDescent="0.4">
      <c r="C17" s="4"/>
      <c r="D17" s="36" t="s">
        <v>66</v>
      </c>
      <c r="E17" s="113">
        <f>IF(E12="Call",E8*_xlfn.NORM.S.DIST('DATA EX2'!C3,TRUE)-E9*EXP(-E13*E10/365)*_xlfn.NORM.S.DIST('DATA EX2'!C4,TRUE),E9*EXP(-E13*E10/365)*_xlfn.NORM.S.DIST(-'DATA EX2'!C4,TRUE)-E8*_xlfn.NORM.S.DIST(-'DATA EX2'!C3,TRUE))</f>
        <v>8.999990458216562</v>
      </c>
      <c r="H17" s="5"/>
      <c r="J17" s="4"/>
      <c r="K17" s="36" t="s">
        <v>66</v>
      </c>
      <c r="L17" s="113">
        <v>5.8259328839999993</v>
      </c>
      <c r="O17" s="5"/>
    </row>
    <row r="18" spans="3:15" ht="15" thickBot="1" x14ac:dyDescent="0.4">
      <c r="C18" s="4"/>
      <c r="D18" s="36" t="s">
        <v>67</v>
      </c>
      <c r="E18" s="112">
        <v>9</v>
      </c>
      <c r="H18" s="5"/>
      <c r="J18" s="4"/>
      <c r="O18" s="5"/>
    </row>
    <row r="19" spans="3:15" ht="15" thickBot="1" x14ac:dyDescent="0.4">
      <c r="C19" s="8"/>
      <c r="D19" s="9"/>
      <c r="E19" s="9"/>
      <c r="F19" s="9"/>
      <c r="G19" s="9"/>
      <c r="H19" s="10"/>
      <c r="J19" s="8"/>
      <c r="K19" s="9"/>
      <c r="L19" s="9"/>
      <c r="M19" s="9"/>
      <c r="N19" s="9"/>
      <c r="O19" s="10"/>
    </row>
  </sheetData>
  <sheetProtection sheet="1" objects="1" scenarios="1"/>
  <mergeCells count="4">
    <mergeCell ref="C4:D4"/>
    <mergeCell ref="J4:K4"/>
    <mergeCell ref="D5:G5"/>
    <mergeCell ref="K5:N5"/>
  </mergeCells>
  <conditionalFormatting sqref="C5:H19">
    <cfRule type="containsBlanks" dxfId="3" priority="2">
      <formula>LEN(TRIM(C5))=0</formula>
    </cfRule>
  </conditionalFormatting>
  <conditionalFormatting sqref="J5:O19">
    <cfRule type="containsBlanks" dxfId="2" priority="1">
      <formula>LEN(TRIM(J5))=0</formula>
    </cfRule>
  </conditionalFormatting>
  <dataValidations count="1">
    <dataValidation type="list" allowBlank="1" showInputMessage="1" showErrorMessage="1" sqref="E12 L12" xr:uid="{5C66464F-FEDF-4F3E-AD4F-62413DE045F2}">
      <formula1>$H$5:$H$6</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32A69-2145-4A56-B4FB-69246BB44A3E}">
  <sheetPr codeName="Sheet13"/>
  <dimension ref="B1:C15"/>
  <sheetViews>
    <sheetView showGridLines="0" workbookViewId="0">
      <selection activeCell="G13" sqref="G13"/>
    </sheetView>
  </sheetViews>
  <sheetFormatPr defaultRowHeight="14.5" x14ac:dyDescent="0.35"/>
  <cols>
    <col min="2" max="2" width="17.54296875" bestFit="1" customWidth="1"/>
    <col min="3" max="3" width="12.7265625" bestFit="1" customWidth="1"/>
  </cols>
  <sheetData>
    <row r="1" spans="2:3" ht="15" thickBot="1" x14ac:dyDescent="0.4"/>
    <row r="2" spans="2:3" ht="15" thickBot="1" x14ac:dyDescent="0.4">
      <c r="B2" s="36" t="s">
        <v>68</v>
      </c>
    </row>
    <row r="3" spans="2:3" x14ac:dyDescent="0.35">
      <c r="B3" s="104" t="s">
        <v>69</v>
      </c>
      <c r="C3" s="71" cm="1">
        <f t="array" ref="C3">DeltaC('Option Pricing'!E8,'Option Pricing'!E9,'Option Pricing'!E10,'Option Pricing'!E13,'Option Pricing'!E14,'Option Pricing'!E11)</f>
        <v>8.7790076505529378E-6</v>
      </c>
    </row>
    <row r="4" spans="2:3" x14ac:dyDescent="0.35">
      <c r="B4" s="105" t="s">
        <v>70</v>
      </c>
      <c r="C4" s="72" cm="1">
        <f t="array" ref="C4">GammaCP('Option Pricing'!E8,'Option Pricing'!E9,'Option Pricing'!E10,'Option Pricing'!E13,'Option Pricing'!E14,'Option Pricing'!E11)</f>
        <v>9.5140452099492783E-9</v>
      </c>
    </row>
    <row r="5" spans="2:3" x14ac:dyDescent="0.35">
      <c r="B5" s="105" t="s">
        <v>71</v>
      </c>
      <c r="C5" s="72" cm="1">
        <f t="array" ref="C5">thetaC('Option Pricing'!E8,'Option Pricing'!E9,'Option Pricing'!E10,'Option Pricing'!E13,'Option Pricing'!E14,'Option Pricing'!E11)</f>
        <v>1.927249891679575E-5</v>
      </c>
    </row>
    <row r="6" spans="2:3" x14ac:dyDescent="0.35">
      <c r="B6" s="105" t="s">
        <v>72</v>
      </c>
      <c r="C6" s="72" cm="1">
        <f t="array" ref="C6">vega('Option Pricing'!E8,'Option Pricing'!E9,'Option Pricing'!E10,'Option Pricing'!E13,'Option Pricing'!E14,'Option Pricing'!E11)</f>
        <v>1.3382335734452709E-2</v>
      </c>
    </row>
    <row r="7" spans="2:3" ht="15" thickBot="1" x14ac:dyDescent="0.4">
      <c r="B7" s="106" t="s">
        <v>73</v>
      </c>
      <c r="C7" s="73" cm="1">
        <f t="array" ref="C7">RhoC('Option Pricing'!E8,'Option Pricing'!E9,'Option Pricing'!E10,'Option Pricing'!E13,'Option Pricing'!E14,'Option Pricing'!E11)</f>
        <v>6.5213290263915129E-22</v>
      </c>
    </row>
    <row r="9" spans="2:3" ht="15" thickBot="1" x14ac:dyDescent="0.4"/>
    <row r="10" spans="2:3" ht="15" thickBot="1" x14ac:dyDescent="0.4">
      <c r="B10" s="36" t="s">
        <v>74</v>
      </c>
    </row>
    <row r="11" spans="2:3" x14ac:dyDescent="0.35">
      <c r="B11" s="79" t="s">
        <v>69</v>
      </c>
      <c r="C11" s="71" cm="1">
        <f t="array" ref="C11">DeltaP('Option Pricing'!E8,'Option Pricing'!E9,'Option Pricing'!E10,'Option Pricing'!E13,'Option Pricing'!E14,'Option Pricing'!E11)</f>
        <v>-8.7790076505529378E-6</v>
      </c>
    </row>
    <row r="12" spans="2:3" x14ac:dyDescent="0.35">
      <c r="B12" s="107" t="s">
        <v>70</v>
      </c>
      <c r="C12" s="72" cm="1">
        <f t="array" ref="C12">GammaCP('Option Pricing'!E8,'Option Pricing'!E9,'Option Pricing'!E10,'Option Pricing'!E13,'Option Pricing'!E14,'Option Pricing'!E11)</f>
        <v>9.5140452099492783E-9</v>
      </c>
    </row>
    <row r="13" spans="2:3" x14ac:dyDescent="0.35">
      <c r="B13" s="107" t="s">
        <v>71</v>
      </c>
      <c r="C13" s="72" cm="1">
        <f t="array" ref="C13">ThetaP('Option Pricing'!E8,'Option Pricing'!E9,'Option Pricing'!E10,'Option Pricing'!E13,'Option Pricing'!E14,'Option Pricing'!E11)</f>
        <v>-3.3401545403763135E-5</v>
      </c>
    </row>
    <row r="14" spans="2:3" x14ac:dyDescent="0.35">
      <c r="B14" s="107" t="s">
        <v>72</v>
      </c>
      <c r="C14" s="72" cm="1">
        <f t="array" ref="C14">vega('Option Pricing'!E8,'Option Pricing'!E9,'Option Pricing'!E10,'Option Pricing'!E13,'Option Pricing'!E14,'Option Pricing'!E11)</f>
        <v>1.3382335734452709E-2</v>
      </c>
    </row>
    <row r="15" spans="2:3" ht="15" thickBot="1" x14ac:dyDescent="0.4">
      <c r="B15" s="108" t="s">
        <v>73</v>
      </c>
      <c r="C15" s="73" cm="1">
        <f t="array" ref="C15">RhoP('Option Pricing'!E8,'Option Pricing'!E9,'Option Pricing'!E10,'Option Pricing'!E13,'Option Pricing'!E14,'Option Pricing'!E11)</f>
        <v>-7.2213367567343011E-9</v>
      </c>
    </row>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D0EF2-576E-4837-8D04-67925C9051B8}">
  <sheetPr codeName="Sheet10"/>
  <dimension ref="A1:AD43"/>
  <sheetViews>
    <sheetView showGridLines="0" zoomScale="86" workbookViewId="0">
      <selection activeCell="F3" sqref="F3"/>
    </sheetView>
  </sheetViews>
  <sheetFormatPr defaultRowHeight="14.5" x14ac:dyDescent="0.35"/>
  <cols>
    <col min="1" max="1" width="16" style="68" bestFit="1" customWidth="1"/>
    <col min="2" max="3" width="13.54296875" style="26" bestFit="1" customWidth="1"/>
    <col min="4" max="4" width="11" style="26" bestFit="1" customWidth="1"/>
    <col min="6" max="6" width="27.26953125" bestFit="1" customWidth="1"/>
    <col min="8" max="9" width="0" hidden="1" customWidth="1"/>
    <col min="10" max="10" width="18.81640625" bestFit="1" customWidth="1"/>
    <col min="12" max="12" width="14.81640625" hidden="1" customWidth="1"/>
    <col min="13" max="13" width="15.7265625" customWidth="1"/>
    <col min="14" max="14" width="14.26953125" customWidth="1"/>
    <col min="16" max="16" width="24.1796875" bestFit="1" customWidth="1"/>
    <col min="17" max="17" width="12.54296875" bestFit="1" customWidth="1"/>
    <col min="18" max="24" width="11" bestFit="1" customWidth="1"/>
    <col min="25" max="27" width="12.54296875" bestFit="1" customWidth="1"/>
    <col min="29" max="29" width="12" customWidth="1"/>
    <col min="30" max="30" width="11" customWidth="1"/>
  </cols>
  <sheetData>
    <row r="1" spans="1:30" ht="15" thickBot="1" x14ac:dyDescent="0.4">
      <c r="A1" s="77" t="s">
        <v>26</v>
      </c>
      <c r="B1" s="78" t="s">
        <v>28</v>
      </c>
      <c r="C1" s="59"/>
      <c r="D1" s="59"/>
      <c r="E1" s="35"/>
    </row>
    <row r="2" spans="1:30" ht="15" thickBot="1" x14ac:dyDescent="0.4">
      <c r="A2" s="60" t="s">
        <v>25</v>
      </c>
      <c r="B2" s="126" t="s">
        <v>85</v>
      </c>
      <c r="C2" s="126" t="s">
        <v>4</v>
      </c>
      <c r="D2" s="63" t="s">
        <v>43</v>
      </c>
      <c r="E2" s="35"/>
      <c r="F2" s="36" t="s">
        <v>30</v>
      </c>
      <c r="J2" s="36" t="s">
        <v>36</v>
      </c>
      <c r="M2" s="190" t="s">
        <v>37</v>
      </c>
      <c r="N2" s="191"/>
      <c r="P2" s="88" t="s">
        <v>45</v>
      </c>
      <c r="Q2" s="89">
        <v>0</v>
      </c>
      <c r="R2" s="89">
        <v>1</v>
      </c>
      <c r="S2" s="89">
        <v>2</v>
      </c>
      <c r="T2" s="89">
        <v>3</v>
      </c>
      <c r="U2" s="89">
        <v>4</v>
      </c>
      <c r="V2" s="89">
        <v>5</v>
      </c>
      <c r="W2" s="89">
        <v>6</v>
      </c>
      <c r="X2" s="89">
        <v>7</v>
      </c>
      <c r="Y2" s="89">
        <v>8</v>
      </c>
      <c r="Z2" s="89">
        <v>9</v>
      </c>
      <c r="AA2" s="90">
        <v>10</v>
      </c>
      <c r="AC2" s="144" t="s">
        <v>44</v>
      </c>
      <c r="AD2" s="146"/>
    </row>
    <row r="3" spans="1:30" x14ac:dyDescent="0.35">
      <c r="A3" s="61">
        <v>0</v>
      </c>
      <c r="B3" s="64">
        <f ca="1">NPV($A3,OFFSET('Cash Flow of Project'!$D$8,MATCH('DATA EX1'!B$2,'Cash Flow of Project'!$B$8:$B$48,0)-1,0,1,10))+OFFSET('Cash Flow of Project'!$C$8,MATCH('DATA EX1'!B$2,'Cash Flow of Project'!$B$8:$B$42,0)-1,0,1,1)</f>
        <v>30000</v>
      </c>
      <c r="C3" s="64">
        <f ca="1">NPV($A3,OFFSET('Cash Flow of Project'!$D$8,MATCH('DATA EX1'!C$2,'Cash Flow of Project'!$B$8:$B$48,0)-1,0,1,10))+OFFSET('Cash Flow of Project'!$C$8,MATCH('DATA EX1'!C$2,'Cash Flow of Project'!$B$8:$B$42,0)-1,0,1,1)</f>
        <v>5000</v>
      </c>
      <c r="D3" s="64">
        <f ca="1">B3-C3</f>
        <v>25000</v>
      </c>
      <c r="E3" s="35"/>
      <c r="F3" s="69" cm="1">
        <f t="array" aca="1" ref="F3" ca="1">ABS(INDEX('DATA EX1'!D3:D32,IF('DATA EX1'!D3&lt;0,COUNTIF('DATA EX1'!D3:D32,"&lt;0"),COUNTIF('DATA EX1'!D3:D32,"&gt;0")),0)/(ABS('DATA EX1'!D12)+ABS('DATA EX1'!D13)))/100</f>
        <v>2.2984494844532522E-4</v>
      </c>
      <c r="J3" s="74">
        <v>1</v>
      </c>
      <c r="M3" s="80">
        <f ca="1">IF('NPV Project'!B8="","",OFFSET('NPV Project'!C$6,0,COUNTIF('NPV Project'!C8:M8,"&lt;0")-1,1,1))</f>
        <v>9</v>
      </c>
      <c r="N3" s="83">
        <f ca="1">IF('NPV Project'!B8="","",ABS(OFFSET('NPV Project'!C8,0,'DATA EX1'!M3,1,1)/(ABS(OFFSET('NPV Project'!C8,0,'DATA EX1'!M3,1,1))+ABS(OFFSET('NPV Project'!C8,0,'DATA EX1'!M3+1,1,1)))))</f>
        <v>0.63881716528198562</v>
      </c>
      <c r="P3" s="2" t="s">
        <v>42</v>
      </c>
      <c r="AC3" s="91"/>
      <c r="AD3" s="74"/>
    </row>
    <row r="4" spans="1:30" ht="15" thickBot="1" x14ac:dyDescent="0.4">
      <c r="A4" s="61">
        <v>0.01</v>
      </c>
      <c r="B4" s="64">
        <f ca="1">NPV($A4,OFFSET('Cash Flow of Project'!$D$8,MATCH('DATA EX1'!B$2,'Cash Flow of Project'!$B$8:$B$48,0)-1,0,1,10))+OFFSET('Cash Flow of Project'!$C$8,MATCH('DATA EX1'!B$2,'Cash Flow of Project'!$B$8:$B$42,0)-1,0,1,1)</f>
        <v>24184.349837718386</v>
      </c>
      <c r="C4" s="64">
        <f ca="1">NPV($A4,OFFSET('Cash Flow of Project'!$D$8,MATCH('DATA EX1'!C$2,'Cash Flow of Project'!$B$8:$B$48,0)-1,0,1,10))+OFFSET('Cash Flow of Project'!$C$8,MATCH('DATA EX1'!C$2,'Cash Flow of Project'!$B$8:$B$42,0)-1,0,1,1)</f>
        <v>4129.1943794219405</v>
      </c>
      <c r="D4" s="64">
        <f t="shared" ref="D4:D32" ca="1" si="0">B4-C4</f>
        <v>20055.155458296445</v>
      </c>
      <c r="E4" s="35"/>
      <c r="F4" s="70" cm="1">
        <f t="array" aca="1" ref="F4" ca="1">INDEX('DATA EX1'!A3:A32,IF('DATA EX1'!D3&lt;0,COUNTIF('DATA EX1'!D3:D32,"&lt;0"),COUNTIF('DATA EX1'!D3:D32,"&gt;0")),0)</f>
        <v>0.06</v>
      </c>
      <c r="J4" s="75">
        <v>2</v>
      </c>
      <c r="M4" s="81">
        <f ca="1">IF('NPV Project'!B9="","",OFFSET('NPV Project'!C$6,0,COUNTIF('NPV Project'!C9:M9,"&lt;0")-1,1,1))</f>
        <v>8</v>
      </c>
      <c r="N4" s="84">
        <f ca="1">IF('NPV Project'!B9="","",ABS(OFFSET('NPV Project'!C9,0,'DATA EX1'!M4,1,1)/(ABS(OFFSET('NPV Project'!C9,0,'DATA EX1'!M4,1,1))+ABS(OFFSET('NPV Project'!C9,0,'DATA EX1'!M4+1,1,1)))))</f>
        <v>0.31562378695312782</v>
      </c>
      <c r="P4" s="122" t="s">
        <v>0</v>
      </c>
      <c r="Q4" s="123">
        <f ca="1">IF($P4="","",SUM(OFFSET('Cash Flow of Project'!$C8,0,0,1,'Cash Flow of Project'!C$6+1)))</f>
        <v>-300000</v>
      </c>
      <c r="R4" s="123">
        <f ca="1">IF($P4="","",SUM(OFFSET('Cash Flow of Project'!$C8,0,0,1,'Cash Flow of Project'!D$6+1)))</f>
        <v>-260000</v>
      </c>
      <c r="S4" s="123">
        <f ca="1">IF($P4="","",SUM(OFFSET('Cash Flow of Project'!$C8,0,0,1,'Cash Flow of Project'!E$6+1)))</f>
        <v>-220000</v>
      </c>
      <c r="T4" s="123">
        <f ca="1">IF($P4="","",SUM(OFFSET('Cash Flow of Project'!$C8,0,0,1,'Cash Flow of Project'!F$6+1)))</f>
        <v>-180000</v>
      </c>
      <c r="U4" s="123">
        <f ca="1">IF($P4="","",SUM(OFFSET('Cash Flow of Project'!$C8,0,0,1,'Cash Flow of Project'!G$6+1)))</f>
        <v>-140000</v>
      </c>
      <c r="V4" s="123">
        <f ca="1">IF($P4="","",SUM(OFFSET('Cash Flow of Project'!$C8,0,0,1,'Cash Flow of Project'!H$6+1)))</f>
        <v>-100000</v>
      </c>
      <c r="W4" s="123">
        <f ca="1">IF($P4="","",SUM(OFFSET('Cash Flow of Project'!$C8,0,0,1,'Cash Flow of Project'!I$6+1)))</f>
        <v>-60000</v>
      </c>
      <c r="X4" s="123">
        <f ca="1">IF($P4="","",SUM(OFFSET('Cash Flow of Project'!$C8,0,0,1,'Cash Flow of Project'!J$6+1)))</f>
        <v>-20000</v>
      </c>
      <c r="Y4" s="123">
        <f ca="1">IF($P4="","",SUM(OFFSET('Cash Flow of Project'!$C8,0,0,1,'Cash Flow of Project'!K$6+1)))</f>
        <v>20000</v>
      </c>
      <c r="Z4" s="123">
        <f ca="1">IF($P4="","",SUM(OFFSET('Cash Flow of Project'!$C8,0,0,1,'Cash Flow of Project'!L$6+1)))</f>
        <v>60000</v>
      </c>
      <c r="AA4" s="123">
        <f ca="1">IF($P4="","",SUM(OFFSET('Cash Flow of Project'!$C8,0,0,1,'Cash Flow of Project'!M$6+1)))</f>
        <v>100000</v>
      </c>
      <c r="AC4" s="92">
        <f ca="1">IF(P4="","",OFFSET($Q$2,0,COUNTIF($Q4:$AA4,"&lt;0")-1,1,1))</f>
        <v>7</v>
      </c>
      <c r="AD4" s="84">
        <f ca="1">IF(P4="","",ABS(OFFSET($Q4,0,COUNTIF($Q4:$AA4,"&lt;0")-1,1,1))/(ABS(OFFSET($Q4,0,COUNTIF($Q4:$AA4,"&lt;0")-1,1,1))+ABS(OFFSET($Q4,0,COUNTIF($Q4:$AA4,"&lt;0"),1,1))))</f>
        <v>0.5</v>
      </c>
    </row>
    <row r="5" spans="1:30" x14ac:dyDescent="0.35">
      <c r="A5" s="61">
        <v>0.02</v>
      </c>
      <c r="B5" s="64">
        <f ca="1">NPV($A5,OFFSET('Cash Flow of Project'!$D$8,MATCH('DATA EX1'!B$2,'Cash Flow of Project'!$B$8:$B$48,0)-1,0,1,10))+OFFSET('Cash Flow of Project'!$C$8,MATCH('DATA EX1'!B$2,'Cash Flow of Project'!$B$8:$B$42,0)-1,0,1,1)</f>
        <v>18808.435068664592</v>
      </c>
      <c r="C5" s="64">
        <f ca="1">NPV($A5,OFFSET('Cash Flow of Project'!$D$8,MATCH('DATA EX1'!C$2,'Cash Flow of Project'!$B$8:$B$48,0)-1,0,1,10))+OFFSET('Cash Flow of Project'!$C$8,MATCH('DATA EX1'!C$2,'Cash Flow of Project'!$B$8:$B$42,0)-1,0,1,1)</f>
        <v>3313.7036012360586</v>
      </c>
      <c r="D5" s="64">
        <f t="shared" ca="1" si="0"/>
        <v>15494.731467428534</v>
      </c>
      <c r="E5" s="35"/>
      <c r="J5" s="75">
        <v>3</v>
      </c>
      <c r="M5" s="81">
        <f ca="1">IF('NPV Project'!B10="","",OFFSET('NPV Project'!C$6,0,COUNTIF('NPV Project'!C10:M10,"&lt;0")-1,1,1))</f>
        <v>2</v>
      </c>
      <c r="N5" s="84">
        <f ca="1">IF('NPV Project'!B10="","",ABS(OFFSET('NPV Project'!C10,0,'DATA EX1'!M5,1,1)/(ABS(OFFSET('NPV Project'!C10,0,'DATA EX1'!M5,1,1))+ABS(OFFSET('NPV Project'!C10,0,'DATA EX1'!M5+1,1,1)))))</f>
        <v>0.7415624999999999</v>
      </c>
      <c r="P5" s="122" t="s">
        <v>1</v>
      </c>
      <c r="Q5" s="123">
        <f ca="1">IF($P5="","",SUM(OFFSET('Cash Flow of Project'!$C9,0,0,1,'Cash Flow of Project'!C$6+1)))</f>
        <v>-1000000</v>
      </c>
      <c r="R5" s="123">
        <f ca="1">IF($P5="","",SUM(OFFSET('Cash Flow of Project'!$C9,0,0,1,'Cash Flow of Project'!D$6+1)))</f>
        <v>-850000</v>
      </c>
      <c r="S5" s="123">
        <f ca="1">IF($P5="","",SUM(OFFSET('Cash Flow of Project'!$C9,0,0,1,'Cash Flow of Project'!E$6+1)))</f>
        <v>-700000</v>
      </c>
      <c r="T5" s="123">
        <f ca="1">IF($P5="","",SUM(OFFSET('Cash Flow of Project'!$C9,0,0,1,'Cash Flow of Project'!F$6+1)))</f>
        <v>-550000</v>
      </c>
      <c r="U5" s="123">
        <f ca="1">IF($P5="","",SUM(OFFSET('Cash Flow of Project'!$C9,0,0,1,'Cash Flow of Project'!G$6+1)))</f>
        <v>-400000</v>
      </c>
      <c r="V5" s="123">
        <f ca="1">IF($P5="","",SUM(OFFSET('Cash Flow of Project'!$C9,0,0,1,'Cash Flow of Project'!H$6+1)))</f>
        <v>-250000</v>
      </c>
      <c r="W5" s="123">
        <f ca="1">IF($P5="","",SUM(OFFSET('Cash Flow of Project'!$C9,0,0,1,'Cash Flow of Project'!I$6+1)))</f>
        <v>-100000</v>
      </c>
      <c r="X5" s="123">
        <f ca="1">IF($P5="","",SUM(OFFSET('Cash Flow of Project'!$C9,0,0,1,'Cash Flow of Project'!J$6+1)))</f>
        <v>50000</v>
      </c>
      <c r="Y5" s="123">
        <f ca="1">IF($P5="","",SUM(OFFSET('Cash Flow of Project'!$C9,0,0,1,'Cash Flow of Project'!K$6+1)))</f>
        <v>200000</v>
      </c>
      <c r="Z5" s="123">
        <f ca="1">IF($P5="","",SUM(OFFSET('Cash Flow of Project'!$C9,0,0,1,'Cash Flow of Project'!L$6+1)))</f>
        <v>350000</v>
      </c>
      <c r="AA5" s="123">
        <f ca="1">IF($P5="","",SUM(OFFSET('Cash Flow of Project'!$C9,0,0,1,'Cash Flow of Project'!M$6+1)))</f>
        <v>500000</v>
      </c>
      <c r="AC5" s="92">
        <f t="shared" ref="AC5:AC27" ca="1" si="1">IF(P5="","",OFFSET($Q$2,0,COUNTIF($Q5:$AA5,"&lt;0")-1,1,1))</f>
        <v>6</v>
      </c>
      <c r="AD5" s="84">
        <f t="shared" ref="AD5:AD26" ca="1" si="2">IF(P5="","",ABS(OFFSET($Q5,0,COUNTIF($Q5:$AA5,"&lt;0")-1,1,1))/(ABS(OFFSET($Q5,0,COUNTIF($Q5:$AA5,"&lt;0")-1,1,1))+ABS(OFFSET($Q5,0,COUNTIF($Q5:$AA5,"&lt;0"),1,1))))</f>
        <v>0.66666666666666663</v>
      </c>
    </row>
    <row r="6" spans="1:30" x14ac:dyDescent="0.35">
      <c r="A6" s="61">
        <v>0.03</v>
      </c>
      <c r="B6" s="64">
        <f ca="1">NPV($A6,OFFSET('Cash Flow of Project'!$D$8,MATCH('DATA EX1'!B$2,'Cash Flow of Project'!$B$8:$B$48,0)-1,0,1,10))+OFFSET('Cash Flow of Project'!$C$8,MATCH('DATA EX1'!B$2,'Cash Flow of Project'!$B$8:$B$42,0)-1,0,1,1)</f>
        <v>13832.23120453411</v>
      </c>
      <c r="C6" s="64">
        <f ca="1">NPV($A6,OFFSET('Cash Flow of Project'!$D$8,MATCH('DATA EX1'!C$2,'Cash Flow of Project'!$B$8:$B$48,0)-1,0,1,10))+OFFSET('Cash Flow of Project'!$C$8,MATCH('DATA EX1'!C$2,'Cash Flow of Project'!$B$8:$B$42,0)-1,0,1,1)</f>
        <v>2549.2304738386956</v>
      </c>
      <c r="D6" s="64">
        <f t="shared" ca="1" si="0"/>
        <v>11283.000730695414</v>
      </c>
      <c r="E6" s="35"/>
      <c r="J6" s="75">
        <v>4</v>
      </c>
      <c r="M6" s="81">
        <f ca="1">IF('NPV Project'!B11="","",OFFSET('NPV Project'!C$6,0,COUNTIF('NPV Project'!C11:M11,"&lt;0")-1,1,1))</f>
        <v>5</v>
      </c>
      <c r="N6" s="84">
        <f ca="1">IF('NPV Project'!B11="","",ABS(OFFSET('NPV Project'!C11,0,'DATA EX1'!M6,1,1)/(ABS(OFFSET('NPV Project'!C11,0,'DATA EX1'!M6,1,1))+ABS(OFFSET('NPV Project'!C11,0,'DATA EX1'!M6+1,1,1)))))</f>
        <v>0.89856539062500018</v>
      </c>
      <c r="P6" s="122" t="s">
        <v>2</v>
      </c>
      <c r="Q6" s="123">
        <f ca="1">IF($P6="","",SUM(OFFSET('Cash Flow of Project'!$C10,0,0,1,'Cash Flow of Project'!C$6+1)))</f>
        <v>-500000</v>
      </c>
      <c r="R6" s="123">
        <f ca="1">IF($P6="","",SUM(OFFSET('Cash Flow of Project'!$C10,0,0,1,'Cash Flow of Project'!D$6+1)))</f>
        <v>-300000</v>
      </c>
      <c r="S6" s="123">
        <f ca="1">IF($P6="","",SUM(OFFSET('Cash Flow of Project'!$C10,0,0,1,'Cash Flow of Project'!E$6+1)))</f>
        <v>-100000</v>
      </c>
      <c r="T6" s="123">
        <f ca="1">IF($P6="","",SUM(OFFSET('Cash Flow of Project'!$C10,0,0,1,'Cash Flow of Project'!F$6+1)))</f>
        <v>100000</v>
      </c>
      <c r="U6" s="123">
        <f ca="1">IF($P6="","",SUM(OFFSET('Cash Flow of Project'!$C10,0,0,1,'Cash Flow of Project'!G$6+1)))</f>
        <v>300000</v>
      </c>
      <c r="V6" s="123">
        <f ca="1">IF($P6="","",SUM(OFFSET('Cash Flow of Project'!$C10,0,0,1,'Cash Flow of Project'!H$6+1)))</f>
        <v>500000</v>
      </c>
      <c r="W6" s="123">
        <f ca="1">IF($P6="","",SUM(OFFSET('Cash Flow of Project'!$C10,0,0,1,'Cash Flow of Project'!I$6+1)))</f>
        <v>700000</v>
      </c>
      <c r="X6" s="123">
        <f ca="1">IF($P6="","",SUM(OFFSET('Cash Flow of Project'!$C10,0,0,1,'Cash Flow of Project'!J$6+1)))</f>
        <v>900000</v>
      </c>
      <c r="Y6" s="123">
        <f ca="1">IF($P6="","",SUM(OFFSET('Cash Flow of Project'!$C10,0,0,1,'Cash Flow of Project'!K$6+1)))</f>
        <v>1100000</v>
      </c>
      <c r="Z6" s="123">
        <f ca="1">IF($P6="","",SUM(OFFSET('Cash Flow of Project'!$C10,0,0,1,'Cash Flow of Project'!L$6+1)))</f>
        <v>1100000</v>
      </c>
      <c r="AA6" s="123">
        <f ca="1">IF($P6="","",SUM(OFFSET('Cash Flow of Project'!$C10,0,0,1,'Cash Flow of Project'!M$6+1)))</f>
        <v>1100000</v>
      </c>
      <c r="AC6" s="92">
        <f t="shared" ca="1" si="1"/>
        <v>2</v>
      </c>
      <c r="AD6" s="84">
        <f t="shared" ca="1" si="2"/>
        <v>0.5</v>
      </c>
    </row>
    <row r="7" spans="1:30" x14ac:dyDescent="0.35">
      <c r="A7" s="61">
        <v>0.04</v>
      </c>
      <c r="B7" s="64">
        <f ca="1">NPV($A7,OFFSET('Cash Flow of Project'!$D$8,MATCH('DATA EX1'!B$2,'Cash Flow of Project'!$B$8:$B$48,0)-1,0,1,10))+OFFSET('Cash Flow of Project'!$C$8,MATCH('DATA EX1'!B$2,'Cash Flow of Project'!$B$8:$B$42,0)-1,0,1,1)</f>
        <v>9219.8535729052965</v>
      </c>
      <c r="C7" s="64">
        <f ca="1">NPV($A7,OFFSET('Cash Flow of Project'!$D$8,MATCH('DATA EX1'!C$2,'Cash Flow of Project'!$B$8:$B$48,0)-1,0,1,10))+OFFSET('Cash Flow of Project'!$C$8,MATCH('DATA EX1'!C$2,'Cash Flow of Project'!$B$8:$B$42,0)-1,0,1,1)</f>
        <v>1831.8621873759948</v>
      </c>
      <c r="D7" s="64">
        <f t="shared" ca="1" si="0"/>
        <v>7387.9913855293016</v>
      </c>
      <c r="E7" s="35"/>
      <c r="J7" s="75">
        <v>5</v>
      </c>
      <c r="M7" s="81">
        <f ca="1">IF('NPV Project'!B12="","",OFFSET('NPV Project'!C$6,0,COUNTIF('NPV Project'!C12:M12,"&lt;0")-1,1,1))</f>
        <v>7</v>
      </c>
      <c r="N7" s="84">
        <f ca="1">IF('NPV Project'!B12="","",ABS(OFFSET('NPV Project'!C12,0,'DATA EX1'!M7,1,1)/(ABS(OFFSET('NPV Project'!C12,0,'DATA EX1'!M7,1,1))+ABS(OFFSET('NPV Project'!C12,0,'DATA EX1'!M7+1,1,1)))))</f>
        <v>0.31562378695312709</v>
      </c>
      <c r="P7" s="122" t="s">
        <v>3</v>
      </c>
      <c r="Q7" s="123">
        <f ca="1">IF($P7="","",SUM(OFFSET('Cash Flow of Project'!$C11,0,0,1,'Cash Flow of Project'!C$6+1)))</f>
        <v>-10000</v>
      </c>
      <c r="R7" s="123">
        <f ca="1">IF($P7="","",SUM(OFFSET('Cash Flow of Project'!$C11,0,0,1,'Cash Flow of Project'!D$6+1)))</f>
        <v>-8000</v>
      </c>
      <c r="S7" s="123">
        <f ca="1">IF($P7="","",SUM(OFFSET('Cash Flow of Project'!$C11,0,0,1,'Cash Flow of Project'!E$6+1)))</f>
        <v>-6000</v>
      </c>
      <c r="T7" s="123">
        <f ca="1">IF($P7="","",SUM(OFFSET('Cash Flow of Project'!$C11,0,0,1,'Cash Flow of Project'!F$6+1)))</f>
        <v>-4000</v>
      </c>
      <c r="U7" s="123">
        <f ca="1">IF($P7="","",SUM(OFFSET('Cash Flow of Project'!$C11,0,0,1,'Cash Flow of Project'!G$6+1)))</f>
        <v>-2000</v>
      </c>
      <c r="V7" s="123">
        <f ca="1">IF($P7="","",SUM(OFFSET('Cash Flow of Project'!$C11,0,0,1,'Cash Flow of Project'!H$6+1)))</f>
        <v>0</v>
      </c>
      <c r="W7" s="123">
        <f ca="1">IF($P7="","",SUM(OFFSET('Cash Flow of Project'!$C11,0,0,1,'Cash Flow of Project'!I$6+1)))</f>
        <v>2000</v>
      </c>
      <c r="X7" s="123">
        <f ca="1">IF($P7="","",SUM(OFFSET('Cash Flow of Project'!$C11,0,0,1,'Cash Flow of Project'!J$6+1)))</f>
        <v>4000</v>
      </c>
      <c r="Y7" s="123">
        <f ca="1">IF($P7="","",SUM(OFFSET('Cash Flow of Project'!$C11,0,0,1,'Cash Flow of Project'!K$6+1)))</f>
        <v>6000</v>
      </c>
      <c r="Z7" s="123">
        <f ca="1">IF($P7="","",SUM(OFFSET('Cash Flow of Project'!$C11,0,0,1,'Cash Flow of Project'!L$6+1)))</f>
        <v>8000</v>
      </c>
      <c r="AA7" s="123">
        <f ca="1">IF($P7="","",SUM(OFFSET('Cash Flow of Project'!$C11,0,0,1,'Cash Flow of Project'!M$6+1)))</f>
        <v>10000</v>
      </c>
      <c r="AC7" s="92">
        <f t="shared" ca="1" si="1"/>
        <v>4</v>
      </c>
      <c r="AD7" s="84">
        <f t="shared" ca="1" si="2"/>
        <v>1</v>
      </c>
    </row>
    <row r="8" spans="1:30" x14ac:dyDescent="0.35">
      <c r="A8" s="61">
        <v>0.05</v>
      </c>
      <c r="B8" s="64">
        <f ca="1">NPV($A8,OFFSET('Cash Flow of Project'!$D$8,MATCH('DATA EX1'!B$2,'Cash Flow of Project'!$B$8:$B$48,0)-1,0,1,10))+OFFSET('Cash Flow of Project'!$C$8,MATCH('DATA EX1'!B$2,'Cash Flow of Project'!$B$8:$B$42,0)-1,0,1,1)</f>
        <v>4939.0842210329283</v>
      </c>
      <c r="C8" s="64">
        <f ca="1">NPV($A8,OFFSET('Cash Flow of Project'!$D$8,MATCH('DATA EX1'!C$2,'Cash Flow of Project'!$B$8:$B$48,0)-1,0,1,10))+OFFSET('Cash Flow of Project'!$C$8,MATCH('DATA EX1'!C$2,'Cash Flow of Project'!$B$8:$B$42,0)-1,0,1,1)</f>
        <v>1158.0318985656359</v>
      </c>
      <c r="D8" s="64">
        <f t="shared" ca="1" si="0"/>
        <v>3781.0523224672925</v>
      </c>
      <c r="E8" s="35"/>
      <c r="J8" s="75">
        <v>6</v>
      </c>
      <c r="M8" s="81">
        <f ca="1">IF('NPV Project'!B13="","",OFFSET('NPV Project'!C$6,0,COUNTIF('NPV Project'!C13:M13,"&lt;0")-1,1,1))</f>
        <v>4</v>
      </c>
      <c r="N8" s="84">
        <f ca="1">IF('NPV Project'!B13="","",ABS(OFFSET('NPV Project'!C13,0,'DATA EX1'!M8,1,1)/(ABS(OFFSET('NPV Project'!C13,0,'DATA EX1'!M8,1,1))+ABS(OFFSET('NPV Project'!C13,0,'DATA EX1'!M8+1,1,1)))))</f>
        <v>0.57949499999999998</v>
      </c>
      <c r="P8" s="122" t="s">
        <v>4</v>
      </c>
      <c r="Q8" s="123">
        <f ca="1">IF($P8="","",SUM(OFFSET('Cash Flow of Project'!$C12,0,0,1,'Cash Flow of Project'!C$6+1)))</f>
        <v>-15000</v>
      </c>
      <c r="R8" s="123">
        <f ca="1">IF($P8="","",SUM(OFFSET('Cash Flow of Project'!$C12,0,0,1,'Cash Flow of Project'!D$6+1)))</f>
        <v>-12500</v>
      </c>
      <c r="S8" s="123">
        <f ca="1">IF($P8="","",SUM(OFFSET('Cash Flow of Project'!$C12,0,0,1,'Cash Flow of Project'!E$6+1)))</f>
        <v>-10000</v>
      </c>
      <c r="T8" s="123">
        <f ca="1">IF($P8="","",SUM(OFFSET('Cash Flow of Project'!$C12,0,0,1,'Cash Flow of Project'!F$6+1)))</f>
        <v>-7500</v>
      </c>
      <c r="U8" s="123">
        <f ca="1">IF($P8="","",SUM(OFFSET('Cash Flow of Project'!$C12,0,0,1,'Cash Flow of Project'!G$6+1)))</f>
        <v>-5000</v>
      </c>
      <c r="V8" s="123">
        <f ca="1">IF($P8="","",SUM(OFFSET('Cash Flow of Project'!$C12,0,0,1,'Cash Flow of Project'!H$6+1)))</f>
        <v>-2500</v>
      </c>
      <c r="W8" s="123">
        <f ca="1">IF($P8="","",SUM(OFFSET('Cash Flow of Project'!$C12,0,0,1,'Cash Flow of Project'!I$6+1)))</f>
        <v>0</v>
      </c>
      <c r="X8" s="123">
        <f ca="1">IF($P8="","",SUM(OFFSET('Cash Flow of Project'!$C12,0,0,1,'Cash Flow of Project'!J$6+1)))</f>
        <v>2500</v>
      </c>
      <c r="Y8" s="123">
        <f ca="1">IF($P8="","",SUM(OFFSET('Cash Flow of Project'!$C12,0,0,1,'Cash Flow of Project'!K$6+1)))</f>
        <v>5000</v>
      </c>
      <c r="Z8" s="123">
        <f ca="1">IF($P8="","",SUM(OFFSET('Cash Flow of Project'!$C12,0,0,1,'Cash Flow of Project'!L$6+1)))</f>
        <v>5000</v>
      </c>
      <c r="AA8" s="123">
        <f ca="1">IF($P8="","",SUM(OFFSET('Cash Flow of Project'!$C12,0,0,1,'Cash Flow of Project'!M$6+1)))</f>
        <v>5000</v>
      </c>
      <c r="AC8" s="92">
        <f t="shared" ca="1" si="1"/>
        <v>5</v>
      </c>
      <c r="AD8" s="84">
        <f t="shared" ca="1" si="2"/>
        <v>1</v>
      </c>
    </row>
    <row r="9" spans="1:30" x14ac:dyDescent="0.35">
      <c r="A9" s="61">
        <v>0.06</v>
      </c>
      <c r="B9" s="64">
        <f ca="1">NPV($A9,OFFSET('Cash Flow of Project'!$D$8,MATCH('DATA EX1'!B$2,'Cash Flow of Project'!$B$8:$B$48,0)-1,0,1,10))+OFFSET('Cash Flow of Project'!$C$8,MATCH('DATA EX1'!B$2,'Cash Flow of Project'!$B$8:$B$42,0)-1,0,1,1)</f>
        <v>960.95756556166452</v>
      </c>
      <c r="C9" s="64">
        <f ca="1">NPV($A9,OFFSET('Cash Flow of Project'!$D$8,MATCH('DATA EX1'!C$2,'Cash Flow of Project'!$B$8:$B$48,0)-1,0,1,10))+OFFSET('Cash Flow of Project'!$C$8,MATCH('DATA EX1'!C$2,'Cash Flow of Project'!$B$8:$B$42,0)-1,0,1,1)</f>
        <v>524.48452742387781</v>
      </c>
      <c r="D9" s="64">
        <f t="shared" ca="1" si="0"/>
        <v>436.47303813778672</v>
      </c>
      <c r="E9" s="35"/>
      <c r="J9" s="75">
        <v>7</v>
      </c>
      <c r="M9" s="81">
        <f ca="1">IF('NPV Project'!B14="","",OFFSET('NPV Project'!C$6,0,COUNTIF('NPV Project'!C14:M14,"&lt;0")-1,1,1))</f>
        <v>10</v>
      </c>
      <c r="N9" s="84">
        <f ca="1">IF('NPV Project'!B14="","",ABS(OFFSET('NPV Project'!C14,0,'DATA EX1'!M9,1,1)/(ABS(OFFSET('NPV Project'!C14,0,'DATA EX1'!M9,1,1))+ABS(OFFSET('NPV Project'!C14,0,'DATA EX1'!M9+1,1,1)))))</f>
        <v>1</v>
      </c>
      <c r="P9" s="122" t="s">
        <v>5</v>
      </c>
      <c r="Q9" s="123">
        <f ca="1">IF($P9="","",SUM(OFFSET('Cash Flow of Project'!$C13,0,0,1,'Cash Flow of Project'!C$6+1)))</f>
        <v>-100000</v>
      </c>
      <c r="R9" s="123">
        <f ca="1">IF($P9="","",SUM(OFFSET('Cash Flow of Project'!$C13,0,0,1,'Cash Flow of Project'!D$6+1)))</f>
        <v>-75000</v>
      </c>
      <c r="S9" s="123">
        <f ca="1">IF($P9="","",SUM(OFFSET('Cash Flow of Project'!$C13,0,0,1,'Cash Flow of Project'!E$6+1)))</f>
        <v>-50000</v>
      </c>
      <c r="T9" s="123">
        <f ca="1">IF($P9="","",SUM(OFFSET('Cash Flow of Project'!$C13,0,0,1,'Cash Flow of Project'!F$6+1)))</f>
        <v>-25000</v>
      </c>
      <c r="U9" s="123">
        <f ca="1">IF($P9="","",SUM(OFFSET('Cash Flow of Project'!$C13,0,0,1,'Cash Flow of Project'!G$6+1)))</f>
        <v>0</v>
      </c>
      <c r="V9" s="123">
        <f ca="1">IF($P9="","",SUM(OFFSET('Cash Flow of Project'!$C13,0,0,1,'Cash Flow of Project'!H$6+1)))</f>
        <v>25000</v>
      </c>
      <c r="W9" s="123">
        <f ca="1">IF($P9="","",SUM(OFFSET('Cash Flow of Project'!$C13,0,0,1,'Cash Flow of Project'!I$6+1)))</f>
        <v>50000</v>
      </c>
      <c r="X9" s="123">
        <f ca="1">IF($P9="","",SUM(OFFSET('Cash Flow of Project'!$C13,0,0,1,'Cash Flow of Project'!J$6+1)))</f>
        <v>75000</v>
      </c>
      <c r="Y9" s="123">
        <f ca="1">IF($P9="","",SUM(OFFSET('Cash Flow of Project'!$C13,0,0,1,'Cash Flow of Project'!K$6+1)))</f>
        <v>100000</v>
      </c>
      <c r="Z9" s="123">
        <f ca="1">IF($P9="","",SUM(OFFSET('Cash Flow of Project'!$C13,0,0,1,'Cash Flow of Project'!L$6+1)))</f>
        <v>125000</v>
      </c>
      <c r="AA9" s="123">
        <f ca="1">IF($P9="","",SUM(OFFSET('Cash Flow of Project'!$C13,0,0,1,'Cash Flow of Project'!M$6+1)))</f>
        <v>150000</v>
      </c>
      <c r="AC9" s="92">
        <f t="shared" ca="1" si="1"/>
        <v>3</v>
      </c>
      <c r="AD9" s="84">
        <f t="shared" ca="1" si="2"/>
        <v>1</v>
      </c>
    </row>
    <row r="10" spans="1:30" x14ac:dyDescent="0.35">
      <c r="A10" s="61">
        <v>7.0000000000000007E-2</v>
      </c>
      <c r="B10" s="64">
        <f ca="1">NPV($A10,OFFSET('Cash Flow of Project'!$D$8,MATCH('DATA EX1'!B$2,'Cash Flow of Project'!$B$8:$B$48,0)-1,0,1,10))+OFFSET('Cash Flow of Project'!$C$8,MATCH('DATA EX1'!B$2,'Cash Flow of Project'!$B$8:$B$42,0)-1,0,1,1)</f>
        <v>-2740.6030497413885</v>
      </c>
      <c r="C10" s="64">
        <f ca="1">NPV($A10,OFFSET('Cash Flow of Project'!$D$8,MATCH('DATA EX1'!C$2,'Cash Flow of Project'!$B$8:$B$48,0)-1,0,1,10))+OFFSET('Cash Flow of Project'!$C$8,MATCH('DATA EX1'!C$2,'Cash Flow of Project'!$B$8:$B$42,0)-1,0,1,1)</f>
        <v>-71.753734465663001</v>
      </c>
      <c r="D10" s="64">
        <f t="shared" ca="1" si="0"/>
        <v>-2668.8493152757255</v>
      </c>
      <c r="E10" s="35"/>
      <c r="J10" s="75">
        <v>8</v>
      </c>
      <c r="M10" s="81">
        <f ca="1">IF('NPV Project'!B15="","",OFFSET('NPV Project'!C$6,0,COUNTIF('NPV Project'!C15:M15,"&lt;0")-1,1,1))</f>
        <v>10</v>
      </c>
      <c r="N10" s="84">
        <f ca="1">IF('NPV Project'!B15="","",ABS(OFFSET('NPV Project'!C15,0,'DATA EX1'!M10,1,1)/(ABS(OFFSET('NPV Project'!C15,0,'DATA EX1'!M10,1,1))+ABS(OFFSET('NPV Project'!C15,0,'DATA EX1'!M10+1,1,1)))))</f>
        <v>1</v>
      </c>
      <c r="P10" s="122" t="s">
        <v>6</v>
      </c>
      <c r="Q10" s="123">
        <f ca="1">IF($P10="","",SUM(OFFSET('Cash Flow of Project'!$C14,0,0,1,'Cash Flow of Project'!C$6+1)))</f>
        <v>-250000</v>
      </c>
      <c r="R10" s="123">
        <f ca="1">IF($P10="","",SUM(OFFSET('Cash Flow of Project'!$C14,0,0,1,'Cash Flow of Project'!D$6+1)))</f>
        <v>-219000</v>
      </c>
      <c r="S10" s="123">
        <f ca="1">IF($P10="","",SUM(OFFSET('Cash Flow of Project'!$C14,0,0,1,'Cash Flow of Project'!E$6+1)))</f>
        <v>-188000</v>
      </c>
      <c r="T10" s="123">
        <f ca="1">IF($P10="","",SUM(OFFSET('Cash Flow of Project'!$C14,0,0,1,'Cash Flow of Project'!F$6+1)))</f>
        <v>-157000</v>
      </c>
      <c r="U10" s="123">
        <f ca="1">IF($P10="","",SUM(OFFSET('Cash Flow of Project'!$C14,0,0,1,'Cash Flow of Project'!G$6+1)))</f>
        <v>-126000</v>
      </c>
      <c r="V10" s="123">
        <f ca="1">IF($P10="","",SUM(OFFSET('Cash Flow of Project'!$C14,0,0,1,'Cash Flow of Project'!H$6+1)))</f>
        <v>-95000</v>
      </c>
      <c r="W10" s="123">
        <f ca="1">IF($P10="","",SUM(OFFSET('Cash Flow of Project'!$C14,0,0,1,'Cash Flow of Project'!I$6+1)))</f>
        <v>-64000</v>
      </c>
      <c r="X10" s="123">
        <f ca="1">IF($P10="","",SUM(OFFSET('Cash Flow of Project'!$C14,0,0,1,'Cash Flow of Project'!J$6+1)))</f>
        <v>-33000</v>
      </c>
      <c r="Y10" s="123">
        <f ca="1">IF($P10="","",SUM(OFFSET('Cash Flow of Project'!$C14,0,0,1,'Cash Flow of Project'!K$6+1)))</f>
        <v>-2000</v>
      </c>
      <c r="Z10" s="123">
        <f ca="1">IF($P10="","",SUM(OFFSET('Cash Flow of Project'!$C14,0,0,1,'Cash Flow of Project'!L$6+1)))</f>
        <v>29000</v>
      </c>
      <c r="AA10" s="123">
        <f ca="1">IF($P10="","",SUM(OFFSET('Cash Flow of Project'!$C14,0,0,1,'Cash Flow of Project'!M$6+1)))</f>
        <v>60000</v>
      </c>
      <c r="AC10" s="92">
        <f t="shared" ca="1" si="1"/>
        <v>8</v>
      </c>
      <c r="AD10" s="84">
        <f t="shared" ca="1" si="2"/>
        <v>6.4516129032258063E-2</v>
      </c>
    </row>
    <row r="11" spans="1:30" x14ac:dyDescent="0.35">
      <c r="A11" s="61">
        <v>0.08</v>
      </c>
      <c r="B11" s="64">
        <f ca="1">NPV($A11,OFFSET('Cash Flow of Project'!$D$8,MATCH('DATA EX1'!B$2,'Cash Flow of Project'!$B$8:$B$48,0)-1,0,1,10))+OFFSET('Cash Flow of Project'!$C$8,MATCH('DATA EX1'!B$2,'Cash Flow of Project'!$B$8:$B$42,0)-1,0,1,1)</f>
        <v>-6189.1046116441285</v>
      </c>
      <c r="C11" s="64">
        <f ca="1">NPV($A11,OFFSET('Cash Flow of Project'!$D$8,MATCH('DATA EX1'!C$2,'Cash Flow of Project'!$B$8:$B$48,0)-1,0,1,10))+OFFSET('Cash Flow of Project'!$C$8,MATCH('DATA EX1'!C$2,'Cash Flow of Project'!$B$8:$B$42,0)-1,0,1,1)</f>
        <v>-633.4026406867506</v>
      </c>
      <c r="D11" s="64">
        <f t="shared" ca="1" si="0"/>
        <v>-5555.7019709573779</v>
      </c>
      <c r="E11" s="35"/>
      <c r="J11" s="75">
        <v>9</v>
      </c>
      <c r="M11" s="81">
        <f ca="1">IF('NPV Project'!B16="","",OFFSET('NPV Project'!C$6,0,COUNTIF('NPV Project'!C16:M16,"&lt;0")-1,1,1))</f>
        <v>9</v>
      </c>
      <c r="N11" s="84">
        <f ca="1">IF('NPV Project'!B16="","",ABS(OFFSET('NPV Project'!C16,0,'DATA EX1'!M11,1,1)/(ABS(OFFSET('NPV Project'!C16,0,'DATA EX1'!M11,1,1))+ABS(OFFSET('NPV Project'!C16,0,'DATA EX1'!M11+1,1,1)))))</f>
        <v>0.26861384101438329</v>
      </c>
      <c r="P11" s="124" t="s">
        <v>7</v>
      </c>
      <c r="Q11" s="123">
        <f ca="1">IF($P11="","",SUM(OFFSET('Cash Flow of Project'!$C15,0,0,1,'Cash Flow of Project'!C$6+1)))</f>
        <v>-330000</v>
      </c>
      <c r="R11" s="123">
        <f ca="1">IF($P11="","",SUM(OFFSET('Cash Flow of Project'!$C15,0,0,1,'Cash Flow of Project'!D$6+1)))</f>
        <v>-292000</v>
      </c>
      <c r="S11" s="123">
        <f ca="1">IF($P11="","",SUM(OFFSET('Cash Flow of Project'!$C15,0,0,1,'Cash Flow of Project'!E$6+1)))</f>
        <v>-254000</v>
      </c>
      <c r="T11" s="123">
        <f ca="1">IF($P11="","",SUM(OFFSET('Cash Flow of Project'!$C15,0,0,1,'Cash Flow of Project'!F$6+1)))</f>
        <v>-216000</v>
      </c>
      <c r="U11" s="123">
        <f ca="1">IF($P11="","",SUM(OFFSET('Cash Flow of Project'!$C15,0,0,1,'Cash Flow of Project'!G$6+1)))</f>
        <v>-178000</v>
      </c>
      <c r="V11" s="123">
        <f ca="1">IF($P11="","",SUM(OFFSET('Cash Flow of Project'!$C15,0,0,1,'Cash Flow of Project'!H$6+1)))</f>
        <v>-140000</v>
      </c>
      <c r="W11" s="123">
        <f ca="1">IF($P11="","",SUM(OFFSET('Cash Flow of Project'!$C15,0,0,1,'Cash Flow of Project'!I$6+1)))</f>
        <v>-102000</v>
      </c>
      <c r="X11" s="123">
        <f ca="1">IF($P11="","",SUM(OFFSET('Cash Flow of Project'!$C15,0,0,1,'Cash Flow of Project'!J$6+1)))</f>
        <v>-64000</v>
      </c>
      <c r="Y11" s="123">
        <f ca="1">IF($P11="","",SUM(OFFSET('Cash Flow of Project'!$C15,0,0,1,'Cash Flow of Project'!K$6+1)))</f>
        <v>-26000</v>
      </c>
      <c r="Z11" s="123">
        <f ca="1">IF($P11="","",SUM(OFFSET('Cash Flow of Project'!$C15,0,0,1,'Cash Flow of Project'!L$6+1)))</f>
        <v>12000</v>
      </c>
      <c r="AA11" s="123">
        <f ca="1">IF($P11="","",SUM(OFFSET('Cash Flow of Project'!$C15,0,0,1,'Cash Flow of Project'!M$6+1)))</f>
        <v>50000</v>
      </c>
      <c r="AC11" s="92">
        <f t="shared" ca="1" si="1"/>
        <v>8</v>
      </c>
      <c r="AD11" s="84">
        <f t="shared" ca="1" si="2"/>
        <v>0.68421052631578949</v>
      </c>
    </row>
    <row r="12" spans="1:30" ht="15" thickBot="1" x14ac:dyDescent="0.4">
      <c r="A12" s="61">
        <v>0.09</v>
      </c>
      <c r="B12" s="64">
        <f ca="1">NPV($A12,OFFSET('Cash Flow of Project'!$D$8,MATCH('DATA EX1'!B$2,'Cash Flow of Project'!$B$8:$B$48,0)-1,0,1,10))+OFFSET('Cash Flow of Project'!$C$8,MATCH('DATA EX1'!B$2,'Cash Flow of Project'!$B$8:$B$42,0)-1,0,1,1)</f>
        <v>-9405.7652872509352</v>
      </c>
      <c r="C12" s="64">
        <f ca="1">NPV($A12,OFFSET('Cash Flow of Project'!$D$8,MATCH('DATA EX1'!C$2,'Cash Flow of Project'!$B$8:$B$48,0)-1,0,1,10))+OFFSET('Cash Flow of Project'!$C$8,MATCH('DATA EX1'!C$2,'Cash Flow of Project'!$B$8:$B$42,0)-1,0,1,1)</f>
        <v>-1162.9522131324575</v>
      </c>
      <c r="D12" s="64">
        <f t="shared" ca="1" si="0"/>
        <v>-8242.8130741184777</v>
      </c>
      <c r="E12" s="35"/>
      <c r="J12" s="76">
        <v>10</v>
      </c>
      <c r="M12" s="82" t="str">
        <f ca="1">IF('NPV Project'!B17="","",OFFSET('NPV Project'!C$6,0,COUNTIF('NPV Project'!C17:M17,"&lt;0")-1,1,1))</f>
        <v/>
      </c>
      <c r="N12" s="85" t="str">
        <f ca="1">IF('NPV Project'!B17="","",ABS(OFFSET('NPV Project'!C17,0,'DATA EX1'!M12,1,1)/(ABS(OFFSET('NPV Project'!C17,0,'DATA EX1'!M12,1,1))+ABS(OFFSET('NPV Project'!C17,0,'DATA EX1'!M12+1,1,1)))))</f>
        <v/>
      </c>
      <c r="P12" s="125" t="s">
        <v>85</v>
      </c>
      <c r="Q12" s="123">
        <f ca="1">IF($P12="","",SUM(OFFSET('Cash Flow of Project'!$C16,0,0,1,'Cash Flow of Project'!C$6+1)))</f>
        <v>-80000</v>
      </c>
      <c r="R12" s="123">
        <f ca="1">IF($P12="","",SUM(OFFSET('Cash Flow of Project'!$C16,0,0,1,'Cash Flow of Project'!D$6+1)))</f>
        <v>-69000</v>
      </c>
      <c r="S12" s="123">
        <f ca="1">IF($P12="","",SUM(OFFSET('Cash Flow of Project'!$C16,0,0,1,'Cash Flow of Project'!E$6+1)))</f>
        <v>-58000</v>
      </c>
      <c r="T12" s="123">
        <f ca="1">IF($P12="","",SUM(OFFSET('Cash Flow of Project'!$C16,0,0,1,'Cash Flow of Project'!F$6+1)))</f>
        <v>-47000</v>
      </c>
      <c r="U12" s="123">
        <f ca="1">IF($P12="","",SUM(OFFSET('Cash Flow of Project'!$C16,0,0,1,'Cash Flow of Project'!G$6+1)))</f>
        <v>-36000</v>
      </c>
      <c r="V12" s="123">
        <f ca="1">IF($P12="","",SUM(OFFSET('Cash Flow of Project'!$C16,0,0,1,'Cash Flow of Project'!H$6+1)))</f>
        <v>-25000</v>
      </c>
      <c r="W12" s="123">
        <f ca="1">IF($P12="","",SUM(OFFSET('Cash Flow of Project'!$C16,0,0,1,'Cash Flow of Project'!I$6+1)))</f>
        <v>-14000</v>
      </c>
      <c r="X12" s="123">
        <f ca="1">IF($P12="","",SUM(OFFSET('Cash Flow of Project'!$C16,0,0,1,'Cash Flow of Project'!J$6+1)))</f>
        <v>-3000</v>
      </c>
      <c r="Y12" s="123">
        <f ca="1">IF($P12="","",SUM(OFFSET('Cash Flow of Project'!$C16,0,0,1,'Cash Flow of Project'!K$6+1)))</f>
        <v>8000</v>
      </c>
      <c r="Z12" s="123">
        <f ca="1">IF($P12="","",SUM(OFFSET('Cash Flow of Project'!$C16,0,0,1,'Cash Flow of Project'!L$6+1)))</f>
        <v>19000</v>
      </c>
      <c r="AA12" s="123">
        <f ca="1">IF($P12="","",SUM(OFFSET('Cash Flow of Project'!$C16,0,0,1,'Cash Flow of Project'!M$6+1)))</f>
        <v>30000</v>
      </c>
      <c r="AC12" s="4">
        <f t="shared" ca="1" si="1"/>
        <v>7</v>
      </c>
      <c r="AD12" s="84">
        <f t="shared" ca="1" si="2"/>
        <v>0.27272727272727271</v>
      </c>
    </row>
    <row r="13" spans="1:30" ht="15" thickBot="1" x14ac:dyDescent="0.4">
      <c r="A13" s="61">
        <v>0.1</v>
      </c>
      <c r="B13" s="64">
        <f ca="1">NPV($A13,OFFSET('Cash Flow of Project'!$D$8,MATCH('DATA EX1'!B$2,'Cash Flow of Project'!$B$8:$B$48,0)-1,0,1,10))+OFFSET('Cash Flow of Project'!$C$8,MATCH('DATA EX1'!B$2,'Cash Flow of Project'!$B$8:$B$42,0)-1,0,1,1)</f>
        <v>-12409.761837248516</v>
      </c>
      <c r="C13" s="64">
        <f ca="1">NPV($A13,OFFSET('Cash Flow of Project'!$D$8,MATCH('DATA EX1'!C$2,'Cash Flow of Project'!$B$8:$B$48,0)-1,0,1,10))+OFFSET('Cash Flow of Project'!$C$8,MATCH('DATA EX1'!C$2,'Cash Flow of Project'!$B$8:$B$42,0)-1,0,1,1)</f>
        <v>-1662.6845052433418</v>
      </c>
      <c r="D13" s="64">
        <f t="shared" ca="1" si="0"/>
        <v>-10747.077332005174</v>
      </c>
      <c r="E13" s="35"/>
      <c r="M13" s="86" t="str">
        <f ca="1">IF('NPV Project'!B18="","",OFFSET('NPV Project'!C$6,0,COUNTIF('NPV Project'!C18:M18,"&lt;0")-1,1,1))</f>
        <v/>
      </c>
      <c r="N13" s="87" t="str">
        <f ca="1">IF('NPV Project'!B18="","",ABS(OFFSET('NPV Project'!C18,0,'DATA EX1'!M13,1,1)/(ABS(OFFSET('NPV Project'!C18,0,'DATA EX1'!M13,1,1))+ABS(OFFSET('NPV Project'!C18,0,'DATA EX1'!M13+1,1,1)))))</f>
        <v/>
      </c>
      <c r="P13" s="125"/>
      <c r="Q13" s="123" t="str">
        <f ca="1">IF($P13="","",SUM(OFFSET('Cash Flow of Project'!$C17,0,0,1,'Cash Flow of Project'!C$6+1)))</f>
        <v/>
      </c>
      <c r="R13" s="123" t="str">
        <f ca="1">IF($P13="","",SUM(OFFSET('Cash Flow of Project'!$C17,0,0,1,'Cash Flow of Project'!D$6+1)))</f>
        <v/>
      </c>
      <c r="S13" s="123" t="str">
        <f ca="1">IF($P13="","",SUM(OFFSET('Cash Flow of Project'!$C17,0,0,1,'Cash Flow of Project'!E$6+1)))</f>
        <v/>
      </c>
      <c r="T13" s="123" t="str">
        <f ca="1">IF($P13="","",SUM(OFFSET('Cash Flow of Project'!$C17,0,0,1,'Cash Flow of Project'!F$6+1)))</f>
        <v/>
      </c>
      <c r="U13" s="123" t="str">
        <f ca="1">IF($P13="","",SUM(OFFSET('Cash Flow of Project'!$C17,0,0,1,'Cash Flow of Project'!G$6+1)))</f>
        <v/>
      </c>
      <c r="V13" s="123" t="str">
        <f ca="1">IF($P13="","",SUM(OFFSET('Cash Flow of Project'!$C17,0,0,1,'Cash Flow of Project'!H$6+1)))</f>
        <v/>
      </c>
      <c r="W13" s="123" t="str">
        <f ca="1">IF($P13="","",SUM(OFFSET('Cash Flow of Project'!$C17,0,0,1,'Cash Flow of Project'!I$6+1)))</f>
        <v/>
      </c>
      <c r="X13" s="123" t="str">
        <f ca="1">IF($P13="","",SUM(OFFSET('Cash Flow of Project'!$C17,0,0,1,'Cash Flow of Project'!J$6+1)))</f>
        <v/>
      </c>
      <c r="Y13" s="123" t="str">
        <f ca="1">IF($P13="","",SUM(OFFSET('Cash Flow of Project'!$C17,0,0,1,'Cash Flow of Project'!K$6+1)))</f>
        <v/>
      </c>
      <c r="Z13" s="123" t="str">
        <f ca="1">IF($P13="","",SUM(OFFSET('Cash Flow of Project'!$C17,0,0,1,'Cash Flow of Project'!L$6+1)))</f>
        <v/>
      </c>
      <c r="AA13" s="123" t="str">
        <f ca="1">IF($P13="","",SUM(OFFSET('Cash Flow of Project'!$C17,0,0,1,'Cash Flow of Project'!M$6+1)))</f>
        <v/>
      </c>
      <c r="AC13" s="8" t="str">
        <f t="shared" ca="1" si="1"/>
        <v/>
      </c>
      <c r="AD13" s="85" t="str">
        <f t="shared" ca="1" si="2"/>
        <v/>
      </c>
    </row>
    <row r="14" spans="1:30" x14ac:dyDescent="0.35">
      <c r="A14" s="61">
        <v>0.11</v>
      </c>
      <c r="B14" s="64">
        <f ca="1">NPV($A14,OFFSET('Cash Flow of Project'!$D$8,MATCH('DATA EX1'!B$2,'Cash Flow of Project'!$B$8:$B$48,0)-1,0,1,10))+OFFSET('Cash Flow of Project'!$C$8,MATCH('DATA EX1'!B$2,'Cash Flow of Project'!$B$8:$B$42,0)-1,0,1,1)</f>
        <v>-15218.447877446728</v>
      </c>
      <c r="C14" s="64">
        <f ca="1">NPV($A14,OFFSET('Cash Flow of Project'!$D$8,MATCH('DATA EX1'!C$2,'Cash Flow of Project'!$B$8:$B$48,0)-1,0,1,10))+OFFSET('Cash Flow of Project'!$C$8,MATCH('DATA EX1'!C$2,'Cash Flow of Project'!$B$8:$B$42,0)-1,0,1,1)</f>
        <v>-2134.6930976822987</v>
      </c>
      <c r="D14" s="64">
        <f t="shared" ca="1" si="0"/>
        <v>-13083.754779764429</v>
      </c>
      <c r="E14" s="35"/>
      <c r="M14" s="86" t="str">
        <f ca="1">IF('NPV Project'!B19="","",OFFSET('NPV Project'!C$6,0,COUNTIF('NPV Project'!C19:M19,"&lt;0")-1,1,1))</f>
        <v/>
      </c>
      <c r="N14" s="87" t="str">
        <f ca="1">IF('NPV Project'!B19="","",ABS(OFFSET('NPV Project'!C19,0,'DATA EX1'!M14,1,1)/(ABS(OFFSET('NPV Project'!C19,0,'DATA EX1'!M14,1,1))+ABS(OFFSET('NPV Project'!C19,0,'DATA EX1'!M14+1,1,1)))))</f>
        <v/>
      </c>
      <c r="P14" s="125"/>
      <c r="Q14" s="123" t="str">
        <f ca="1">IF($P14="","",SUM(OFFSET('Cash Flow of Project'!$C18,0,0,1,'Cash Flow of Project'!C$6+1)))</f>
        <v/>
      </c>
      <c r="R14" s="123" t="str">
        <f ca="1">IF($P14="","",SUM(OFFSET('Cash Flow of Project'!$C18,0,0,1,'Cash Flow of Project'!D$6+1)))</f>
        <v/>
      </c>
      <c r="S14" s="123" t="str">
        <f ca="1">IF($P14="","",SUM(OFFSET('Cash Flow of Project'!$C18,0,0,1,'Cash Flow of Project'!E$6+1)))</f>
        <v/>
      </c>
      <c r="T14" s="123" t="str">
        <f ca="1">IF($P14="","",SUM(OFFSET('Cash Flow of Project'!$C18,0,0,1,'Cash Flow of Project'!F$6+1)))</f>
        <v/>
      </c>
      <c r="U14" s="123" t="str">
        <f ca="1">IF($P14="","",SUM(OFFSET('Cash Flow of Project'!$C18,0,0,1,'Cash Flow of Project'!G$6+1)))</f>
        <v/>
      </c>
      <c r="V14" s="123" t="str">
        <f ca="1">IF($P14="","",SUM(OFFSET('Cash Flow of Project'!$C18,0,0,1,'Cash Flow of Project'!H$6+1)))</f>
        <v/>
      </c>
      <c r="W14" s="123" t="str">
        <f ca="1">IF($P14="","",SUM(OFFSET('Cash Flow of Project'!$C18,0,0,1,'Cash Flow of Project'!I$6+1)))</f>
        <v/>
      </c>
      <c r="X14" s="123" t="str">
        <f ca="1">IF($P14="","",SUM(OFFSET('Cash Flow of Project'!$C18,0,0,1,'Cash Flow of Project'!J$6+1)))</f>
        <v/>
      </c>
      <c r="Y14" s="123" t="str">
        <f ca="1">IF($P14="","",SUM(OFFSET('Cash Flow of Project'!$C18,0,0,1,'Cash Flow of Project'!K$6+1)))</f>
        <v/>
      </c>
      <c r="Z14" s="123" t="str">
        <f ca="1">IF($P14="","",SUM(OFFSET('Cash Flow of Project'!$C18,0,0,1,'Cash Flow of Project'!L$6+1)))</f>
        <v/>
      </c>
      <c r="AA14" s="123" t="str">
        <f ca="1">IF($P14="","",SUM(OFFSET('Cash Flow of Project'!$C18,0,0,1,'Cash Flow of Project'!M$6+1)))</f>
        <v/>
      </c>
      <c r="AC14" t="str">
        <f t="shared" ca="1" si="1"/>
        <v/>
      </c>
      <c r="AD14" s="87" t="str">
        <f t="shared" ca="1" si="2"/>
        <v/>
      </c>
    </row>
    <row r="15" spans="1:30" x14ac:dyDescent="0.35">
      <c r="A15" s="61">
        <v>0.12</v>
      </c>
      <c r="B15" s="64">
        <f ca="1">NPV($A15,OFFSET('Cash Flow of Project'!$D$8,MATCH('DATA EX1'!B$2,'Cash Flow of Project'!$B$8:$B$48,0)-1,0,1,10))+OFFSET('Cash Flow of Project'!$C$8,MATCH('DATA EX1'!B$2,'Cash Flow of Project'!$B$8:$B$42,0)-1,0,1,1)</f>
        <v>-17847.546687480506</v>
      </c>
      <c r="C15" s="64">
        <f ca="1">NPV($A15,OFFSET('Cash Flow of Project'!$D$8,MATCH('DATA EX1'!C$2,'Cash Flow of Project'!$B$8:$B$48,0)-1,0,1,10))+OFFSET('Cash Flow of Project'!$C$8,MATCH('DATA EX1'!C$2,'Cash Flow of Project'!$B$8:$B$42,0)-1,0,1,1)</f>
        <v>-2580.9005829035304</v>
      </c>
      <c r="D15" s="64">
        <f t="shared" ca="1" si="0"/>
        <v>-15266.646104576976</v>
      </c>
      <c r="E15" s="35"/>
      <c r="M15" s="86" t="str">
        <f ca="1">IF('NPV Project'!B20="","",OFFSET('NPV Project'!C$6,0,COUNTIF('NPV Project'!C20:M20,"&lt;0")-1,1,1))</f>
        <v/>
      </c>
      <c r="N15" s="87" t="str">
        <f ca="1">IF('NPV Project'!B20="","",ABS(OFFSET('NPV Project'!C20,0,'DATA EX1'!M15,1,1)/(ABS(OFFSET('NPV Project'!C20,0,'DATA EX1'!M15,1,1))+ABS(OFFSET('NPV Project'!C20,0,'DATA EX1'!M15+1,1,1)))))</f>
        <v/>
      </c>
      <c r="P15" s="125"/>
      <c r="Q15" s="123" t="str">
        <f ca="1">IF($P15="","",SUM(OFFSET('Cash Flow of Project'!$C19,0,0,1,'Cash Flow of Project'!C$6+1)))</f>
        <v/>
      </c>
      <c r="R15" s="123" t="str">
        <f ca="1">IF($P15="","",SUM(OFFSET('Cash Flow of Project'!$C19,0,0,1,'Cash Flow of Project'!D$6+1)))</f>
        <v/>
      </c>
      <c r="S15" s="123" t="str">
        <f ca="1">IF($P15="","",SUM(OFFSET('Cash Flow of Project'!$C19,0,0,1,'Cash Flow of Project'!E$6+1)))</f>
        <v/>
      </c>
      <c r="T15" s="123" t="str">
        <f ca="1">IF($P15="","",SUM(OFFSET('Cash Flow of Project'!$C19,0,0,1,'Cash Flow of Project'!F$6+1)))</f>
        <v/>
      </c>
      <c r="U15" s="123" t="str">
        <f ca="1">IF($P15="","",SUM(OFFSET('Cash Flow of Project'!$C19,0,0,1,'Cash Flow of Project'!G$6+1)))</f>
        <v/>
      </c>
      <c r="V15" s="123" t="str">
        <f ca="1">IF($P15="","",SUM(OFFSET('Cash Flow of Project'!$C19,0,0,1,'Cash Flow of Project'!H$6+1)))</f>
        <v/>
      </c>
      <c r="W15" s="123" t="str">
        <f ca="1">IF($P15="","",SUM(OFFSET('Cash Flow of Project'!$C19,0,0,1,'Cash Flow of Project'!I$6+1)))</f>
        <v/>
      </c>
      <c r="X15" s="123" t="str">
        <f ca="1">IF($P15="","",SUM(OFFSET('Cash Flow of Project'!$C19,0,0,1,'Cash Flow of Project'!J$6+1)))</f>
        <v/>
      </c>
      <c r="Y15" s="123" t="str">
        <f ca="1">IF($P15="","",SUM(OFFSET('Cash Flow of Project'!$C19,0,0,1,'Cash Flow of Project'!K$6+1)))</f>
        <v/>
      </c>
      <c r="Z15" s="123" t="str">
        <f ca="1">IF($P15="","",SUM(OFFSET('Cash Flow of Project'!$C19,0,0,1,'Cash Flow of Project'!L$6+1)))</f>
        <v/>
      </c>
      <c r="AA15" s="123" t="str">
        <f ca="1">IF($P15="","",SUM(OFFSET('Cash Flow of Project'!$C19,0,0,1,'Cash Flow of Project'!M$6+1)))</f>
        <v/>
      </c>
      <c r="AC15" t="str">
        <f t="shared" ca="1" si="1"/>
        <v/>
      </c>
      <c r="AD15" s="87" t="str">
        <f t="shared" ca="1" si="2"/>
        <v/>
      </c>
    </row>
    <row r="16" spans="1:30" x14ac:dyDescent="0.35">
      <c r="A16" s="61">
        <v>0.13</v>
      </c>
      <c r="B16" s="64">
        <f ca="1">NPV($A16,OFFSET('Cash Flow of Project'!$D$8,MATCH('DATA EX1'!B$2,'Cash Flow of Project'!$B$8:$B$48,0)-1,0,1,10))+OFFSET('Cash Flow of Project'!$C$8,MATCH('DATA EX1'!B$2,'Cash Flow of Project'!$B$8:$B$42,0)-1,0,1,1)</f>
        <v>-20311.321764518267</v>
      </c>
      <c r="C16" s="64">
        <f ca="1">NPV($A16,OFFSET('Cash Flow of Project'!$D$8,MATCH('DATA EX1'!C$2,'Cash Flow of Project'!$B$8:$B$48,0)-1,0,1,10))+OFFSET('Cash Flow of Project'!$C$8,MATCH('DATA EX1'!C$2,'Cash Flow of Project'!$B$8:$B$42,0)-1,0,1,1)</f>
        <v>-3003.0742638894044</v>
      </c>
      <c r="D16" s="64">
        <f t="shared" ca="1" si="0"/>
        <v>-17308.247500628862</v>
      </c>
      <c r="E16" s="35"/>
      <c r="M16" s="86" t="str">
        <f ca="1">IF('NPV Project'!B21="","",OFFSET('NPV Project'!C$6,0,COUNTIF('NPV Project'!C21:M21,"&lt;0")-1,1,1))</f>
        <v/>
      </c>
      <c r="N16" s="87" t="str">
        <f ca="1">IF('NPV Project'!B21="","",ABS(OFFSET('NPV Project'!C21,0,'DATA EX1'!M16,1,1)/(ABS(OFFSET('NPV Project'!C21,0,'DATA EX1'!M16,1,1))+ABS(OFFSET('NPV Project'!C21,0,'DATA EX1'!M16+1,1,1)))))</f>
        <v/>
      </c>
      <c r="P16" s="125"/>
      <c r="Q16" s="123" t="str">
        <f ca="1">IF($P16="","",SUM(OFFSET('Cash Flow of Project'!$C20,0,0,1,'Cash Flow of Project'!C$6+1)))</f>
        <v/>
      </c>
      <c r="R16" s="123" t="str">
        <f ca="1">IF($P16="","",SUM(OFFSET('Cash Flow of Project'!$C20,0,0,1,'Cash Flow of Project'!D$6+1)))</f>
        <v/>
      </c>
      <c r="S16" s="123" t="str">
        <f ca="1">IF($P16="","",SUM(OFFSET('Cash Flow of Project'!$C20,0,0,1,'Cash Flow of Project'!E$6+1)))</f>
        <v/>
      </c>
      <c r="T16" s="123" t="str">
        <f ca="1">IF($P16="","",SUM(OFFSET('Cash Flow of Project'!$C20,0,0,1,'Cash Flow of Project'!F$6+1)))</f>
        <v/>
      </c>
      <c r="U16" s="123" t="str">
        <f ca="1">IF($P16="","",SUM(OFFSET('Cash Flow of Project'!$C20,0,0,1,'Cash Flow of Project'!G$6+1)))</f>
        <v/>
      </c>
      <c r="V16" s="123" t="str">
        <f ca="1">IF($P16="","",SUM(OFFSET('Cash Flow of Project'!$C20,0,0,1,'Cash Flow of Project'!H$6+1)))</f>
        <v/>
      </c>
      <c r="W16" s="123" t="str">
        <f ca="1">IF($P16="","",SUM(OFFSET('Cash Flow of Project'!$C20,0,0,1,'Cash Flow of Project'!I$6+1)))</f>
        <v/>
      </c>
      <c r="X16" s="123" t="str">
        <f ca="1">IF($P16="","",SUM(OFFSET('Cash Flow of Project'!$C20,0,0,1,'Cash Flow of Project'!J$6+1)))</f>
        <v/>
      </c>
      <c r="Y16" s="123" t="str">
        <f ca="1">IF($P16="","",SUM(OFFSET('Cash Flow of Project'!$C20,0,0,1,'Cash Flow of Project'!K$6+1)))</f>
        <v/>
      </c>
      <c r="Z16" s="123" t="str">
        <f ca="1">IF($P16="","",SUM(OFFSET('Cash Flow of Project'!$C20,0,0,1,'Cash Flow of Project'!L$6+1)))</f>
        <v/>
      </c>
      <c r="AA16" s="123" t="str">
        <f ca="1">IF($P16="","",SUM(OFFSET('Cash Flow of Project'!$C20,0,0,1,'Cash Flow of Project'!M$6+1)))</f>
        <v/>
      </c>
      <c r="AC16" t="str">
        <f t="shared" ca="1" si="1"/>
        <v/>
      </c>
      <c r="AD16" s="87" t="str">
        <f t="shared" ca="1" si="2"/>
        <v/>
      </c>
    </row>
    <row r="17" spans="1:30" x14ac:dyDescent="0.35">
      <c r="A17" s="61">
        <v>0.14000000000000001</v>
      </c>
      <c r="B17" s="64">
        <f ca="1">NPV($A17,OFFSET('Cash Flow of Project'!$D$8,MATCH('DATA EX1'!B$2,'Cash Flow of Project'!$B$8:$B$48,0)-1,0,1,10))+OFFSET('Cash Flow of Project'!$C$8,MATCH('DATA EX1'!B$2,'Cash Flow of Project'!$B$8:$B$42,0)-1,0,1,1)</f>
        <v>-22622.727890770628</v>
      </c>
      <c r="C17" s="64">
        <f ca="1">NPV($A17,OFFSET('Cash Flow of Project'!$D$8,MATCH('DATA EX1'!C$2,'Cash Flow of Project'!$B$8:$B$48,0)-1,0,1,10))+OFFSET('Cash Flow of Project'!$C$8,MATCH('DATA EX1'!C$2,'Cash Flow of Project'!$B$8:$B$42,0)-1,0,1,1)</f>
        <v>-3402.8402651921606</v>
      </c>
      <c r="D17" s="64">
        <f t="shared" ca="1" si="0"/>
        <v>-19219.887625578467</v>
      </c>
      <c r="E17" s="35"/>
      <c r="M17" s="86" t="str">
        <f ca="1">IF('NPV Project'!B22="","",OFFSET('NPV Project'!C$6,0,COUNTIF('NPV Project'!C22:M22,"&lt;0")-1,1,1))</f>
        <v/>
      </c>
      <c r="N17" s="87" t="str">
        <f ca="1">IF('NPV Project'!B22="","",ABS(OFFSET('NPV Project'!C22,0,'DATA EX1'!M17,1,1)/(ABS(OFFSET('NPV Project'!C22,0,'DATA EX1'!M17,1,1))+ABS(OFFSET('NPV Project'!C22,0,'DATA EX1'!M17+1,1,1)))))</f>
        <v/>
      </c>
      <c r="P17" s="125"/>
      <c r="Q17" s="123" t="str">
        <f ca="1">IF($P17="","",SUM(OFFSET('Cash Flow of Project'!$C21,0,0,1,'Cash Flow of Project'!C$6+1)))</f>
        <v/>
      </c>
      <c r="R17" s="123" t="str">
        <f ca="1">IF($P17="","",SUM(OFFSET('Cash Flow of Project'!$C21,0,0,1,'Cash Flow of Project'!D$6+1)))</f>
        <v/>
      </c>
      <c r="S17" s="123" t="str">
        <f ca="1">IF($P17="","",SUM(OFFSET('Cash Flow of Project'!$C21,0,0,1,'Cash Flow of Project'!E$6+1)))</f>
        <v/>
      </c>
      <c r="T17" s="123" t="str">
        <f ca="1">IF($P17="","",SUM(OFFSET('Cash Flow of Project'!$C21,0,0,1,'Cash Flow of Project'!F$6+1)))</f>
        <v/>
      </c>
      <c r="U17" s="123" t="str">
        <f ca="1">IF($P17="","",SUM(OFFSET('Cash Flow of Project'!$C21,0,0,1,'Cash Flow of Project'!G$6+1)))</f>
        <v/>
      </c>
      <c r="V17" s="123" t="str">
        <f ca="1">IF($P17="","",SUM(OFFSET('Cash Flow of Project'!$C21,0,0,1,'Cash Flow of Project'!H$6+1)))</f>
        <v/>
      </c>
      <c r="W17" s="123" t="str">
        <f ca="1">IF($P17="","",SUM(OFFSET('Cash Flow of Project'!$C21,0,0,1,'Cash Flow of Project'!I$6+1)))</f>
        <v/>
      </c>
      <c r="X17" s="123" t="str">
        <f ca="1">IF($P17="","",SUM(OFFSET('Cash Flow of Project'!$C21,0,0,1,'Cash Flow of Project'!J$6+1)))</f>
        <v/>
      </c>
      <c r="Y17" s="123" t="str">
        <f ca="1">IF($P17="","",SUM(OFFSET('Cash Flow of Project'!$C21,0,0,1,'Cash Flow of Project'!K$6+1)))</f>
        <v/>
      </c>
      <c r="Z17" s="123" t="str">
        <f ca="1">IF($P17="","",SUM(OFFSET('Cash Flow of Project'!$C21,0,0,1,'Cash Flow of Project'!L$6+1)))</f>
        <v/>
      </c>
      <c r="AA17" s="123" t="str">
        <f ca="1">IF($P17="","",SUM(OFFSET('Cash Flow of Project'!$C21,0,0,1,'Cash Flow of Project'!M$6+1)))</f>
        <v/>
      </c>
      <c r="AC17" t="str">
        <f t="shared" ca="1" si="1"/>
        <v/>
      </c>
      <c r="AD17" s="87" t="str">
        <f t="shared" ca="1" si="2"/>
        <v/>
      </c>
    </row>
    <row r="18" spans="1:30" x14ac:dyDescent="0.35">
      <c r="A18" s="61">
        <v>0.15</v>
      </c>
      <c r="B18" s="64">
        <f ca="1">NPV($A18,OFFSET('Cash Flow of Project'!$D$8,MATCH('DATA EX1'!B$2,'Cash Flow of Project'!$B$8:$B$48,0)-1,0,1,10))+OFFSET('Cash Flow of Project'!$C$8,MATCH('DATA EX1'!B$2,'Cash Flow of Project'!$B$8:$B$42,0)-1,0,1,1)</f>
        <v>-24793.545115603461</v>
      </c>
      <c r="C18" s="64">
        <f ca="1">NPV($A18,OFFSET('Cash Flow of Project'!$D$8,MATCH('DATA EX1'!C$2,'Cash Flow of Project'!$B$8:$B$48,0)-1,0,1,10))+OFFSET('Cash Flow of Project'!$C$8,MATCH('DATA EX1'!C$2,'Cash Flow of Project'!$B$8:$B$42,0)-1,0,1,1)</f>
        <v>-3781.6962307694539</v>
      </c>
      <c r="D18" s="64">
        <f t="shared" ca="1" si="0"/>
        <v>-21011.848884834006</v>
      </c>
      <c r="E18" s="35"/>
      <c r="M18" s="86" t="str">
        <f ca="1">IF('NPV Project'!B23="","",OFFSET('NPV Project'!C$6,0,COUNTIF('NPV Project'!C23:M23,"&lt;0")-1,1,1))</f>
        <v/>
      </c>
      <c r="N18" s="87" t="str">
        <f ca="1">IF('NPV Project'!B23="","",ABS(OFFSET('NPV Project'!C23,0,'DATA EX1'!M18,1,1)/(ABS(OFFSET('NPV Project'!C23,0,'DATA EX1'!M18,1,1))+ABS(OFFSET('NPV Project'!C23,0,'DATA EX1'!M18+1,1,1)))))</f>
        <v/>
      </c>
      <c r="P18" s="125"/>
      <c r="Q18" s="123" t="str">
        <f ca="1">IF($P18="","",SUM(OFFSET('Cash Flow of Project'!$C22,0,0,1,'Cash Flow of Project'!C$6+1)))</f>
        <v/>
      </c>
      <c r="R18" s="123" t="str">
        <f ca="1">IF($P18="","",SUM(OFFSET('Cash Flow of Project'!$C22,0,0,1,'Cash Flow of Project'!D$6+1)))</f>
        <v/>
      </c>
      <c r="S18" s="123" t="str">
        <f ca="1">IF($P18="","",SUM(OFFSET('Cash Flow of Project'!$C22,0,0,1,'Cash Flow of Project'!E$6+1)))</f>
        <v/>
      </c>
      <c r="T18" s="123" t="str">
        <f ca="1">IF($P18="","",SUM(OFFSET('Cash Flow of Project'!$C22,0,0,1,'Cash Flow of Project'!F$6+1)))</f>
        <v/>
      </c>
      <c r="U18" s="123" t="str">
        <f ca="1">IF($P18="","",SUM(OFFSET('Cash Flow of Project'!$C22,0,0,1,'Cash Flow of Project'!G$6+1)))</f>
        <v/>
      </c>
      <c r="V18" s="123" t="str">
        <f ca="1">IF($P18="","",SUM(OFFSET('Cash Flow of Project'!$C22,0,0,1,'Cash Flow of Project'!H$6+1)))</f>
        <v/>
      </c>
      <c r="W18" s="123" t="str">
        <f ca="1">IF($P18="","",SUM(OFFSET('Cash Flow of Project'!$C22,0,0,1,'Cash Flow of Project'!I$6+1)))</f>
        <v/>
      </c>
      <c r="X18" s="123" t="str">
        <f ca="1">IF($P18="","",SUM(OFFSET('Cash Flow of Project'!$C22,0,0,1,'Cash Flow of Project'!J$6+1)))</f>
        <v/>
      </c>
      <c r="Y18" s="123" t="str">
        <f ca="1">IF($P18="","",SUM(OFFSET('Cash Flow of Project'!$C22,0,0,1,'Cash Flow of Project'!K$6+1)))</f>
        <v/>
      </c>
      <c r="Z18" s="123" t="str">
        <f ca="1">IF($P18="","",SUM(OFFSET('Cash Flow of Project'!$C22,0,0,1,'Cash Flow of Project'!L$6+1)))</f>
        <v/>
      </c>
      <c r="AA18" s="123" t="str">
        <f ca="1">IF($P18="","",SUM(OFFSET('Cash Flow of Project'!$C22,0,0,1,'Cash Flow of Project'!M$6+1)))</f>
        <v/>
      </c>
      <c r="AC18" t="str">
        <f t="shared" ca="1" si="1"/>
        <v/>
      </c>
      <c r="AD18" s="87" t="str">
        <f t="shared" ca="1" si="2"/>
        <v/>
      </c>
    </row>
    <row r="19" spans="1:30" x14ac:dyDescent="0.35">
      <c r="A19" s="61">
        <v>0.16</v>
      </c>
      <c r="B19" s="64">
        <f ca="1">NPV($A19,OFFSET('Cash Flow of Project'!$D$8,MATCH('DATA EX1'!B$2,'Cash Flow of Project'!$B$8:$B$48,0)-1,0,1,10))+OFFSET('Cash Flow of Project'!$C$8,MATCH('DATA EX1'!B$2,'Cash Flow of Project'!$B$8:$B$42,0)-1,0,1,1)</f>
        <v>-26834.497736967794</v>
      </c>
      <c r="C19" s="64">
        <f ca="1">NPV($A19,OFFSET('Cash Flow of Project'!$D$8,MATCH('DATA EX1'!C$2,'Cash Flow of Project'!$B$8:$B$48,0)-1,0,1,10))+OFFSET('Cash Flow of Project'!$C$8,MATCH('DATA EX1'!C$2,'Cash Flow of Project'!$B$8:$B$42,0)-1,0,1,1)</f>
        <v>-4141.0227624690615</v>
      </c>
      <c r="D19" s="64">
        <f t="shared" ca="1" si="0"/>
        <v>-22693.474974498735</v>
      </c>
      <c r="E19" s="35"/>
      <c r="M19" s="86" t="str">
        <f ca="1">IF('NPV Project'!B24="","",OFFSET('NPV Project'!C$6,0,COUNTIF('NPV Project'!C24:M24,"&lt;0")-1,1,1))</f>
        <v/>
      </c>
      <c r="N19" s="87" t="str">
        <f ca="1">IF('NPV Project'!B24="","",ABS(OFFSET('NPV Project'!C24,0,'DATA EX1'!M19,1,1)/(ABS(OFFSET('NPV Project'!C24,0,'DATA EX1'!M19,1,1))+ABS(OFFSET('NPV Project'!C24,0,'DATA EX1'!M19+1,1,1)))))</f>
        <v/>
      </c>
      <c r="P19" s="125"/>
      <c r="Q19" s="123" t="str">
        <f ca="1">IF($P19="","",SUM(OFFSET('Cash Flow of Project'!$C23,0,0,1,'Cash Flow of Project'!C$6+1)))</f>
        <v/>
      </c>
      <c r="R19" s="123" t="str">
        <f ca="1">IF($P19="","",SUM(OFFSET('Cash Flow of Project'!$C23,0,0,1,'Cash Flow of Project'!D$6+1)))</f>
        <v/>
      </c>
      <c r="S19" s="123" t="str">
        <f ca="1">IF($P19="","",SUM(OFFSET('Cash Flow of Project'!$C23,0,0,1,'Cash Flow of Project'!E$6+1)))</f>
        <v/>
      </c>
      <c r="T19" s="123" t="str">
        <f ca="1">IF($P19="","",SUM(OFFSET('Cash Flow of Project'!$C23,0,0,1,'Cash Flow of Project'!F$6+1)))</f>
        <v/>
      </c>
      <c r="U19" s="123" t="str">
        <f ca="1">IF($P19="","",SUM(OFFSET('Cash Flow of Project'!$C23,0,0,1,'Cash Flow of Project'!G$6+1)))</f>
        <v/>
      </c>
      <c r="V19" s="123" t="str">
        <f ca="1">IF($P19="","",SUM(OFFSET('Cash Flow of Project'!$C23,0,0,1,'Cash Flow of Project'!H$6+1)))</f>
        <v/>
      </c>
      <c r="W19" s="123" t="str">
        <f ca="1">IF($P19="","",SUM(OFFSET('Cash Flow of Project'!$C23,0,0,1,'Cash Flow of Project'!I$6+1)))</f>
        <v/>
      </c>
      <c r="X19" s="123" t="str">
        <f ca="1">IF($P19="","",SUM(OFFSET('Cash Flow of Project'!$C23,0,0,1,'Cash Flow of Project'!J$6+1)))</f>
        <v/>
      </c>
      <c r="Y19" s="123" t="str">
        <f ca="1">IF($P19="","",SUM(OFFSET('Cash Flow of Project'!$C23,0,0,1,'Cash Flow of Project'!K$6+1)))</f>
        <v/>
      </c>
      <c r="Z19" s="123" t="str">
        <f ca="1">IF($P19="","",SUM(OFFSET('Cash Flow of Project'!$C23,0,0,1,'Cash Flow of Project'!L$6+1)))</f>
        <v/>
      </c>
      <c r="AA19" s="123" t="str">
        <f ca="1">IF($P19="","",SUM(OFFSET('Cash Flow of Project'!$C23,0,0,1,'Cash Flow of Project'!M$6+1)))</f>
        <v/>
      </c>
      <c r="AC19" t="str">
        <f t="shared" ca="1" si="1"/>
        <v/>
      </c>
      <c r="AD19" s="87" t="str">
        <f t="shared" ca="1" si="2"/>
        <v/>
      </c>
    </row>
    <row r="20" spans="1:30" x14ac:dyDescent="0.35">
      <c r="A20" s="61">
        <v>0.17</v>
      </c>
      <c r="B20" s="64">
        <f ca="1">NPV($A20,OFFSET('Cash Flow of Project'!$D$8,MATCH('DATA EX1'!B$2,'Cash Flow of Project'!$B$8:$B$48,0)-1,0,1,10))+OFFSET('Cash Flow of Project'!$C$8,MATCH('DATA EX1'!B$2,'Cash Flow of Project'!$B$8:$B$42,0)-1,0,1,1)</f>
        <v>-28755.360094931435</v>
      </c>
      <c r="C20" s="64">
        <f ca="1">NPV($A20,OFFSET('Cash Flow of Project'!$D$8,MATCH('DATA EX1'!C$2,'Cash Flow of Project'!$B$8:$B$48,0)-1,0,1,10))+OFFSET('Cash Flow of Project'!$C$8,MATCH('DATA EX1'!C$2,'Cash Flow of Project'!$B$8:$B$42,0)-1,0,1,1)</f>
        <v>-4482.0937349890137</v>
      </c>
      <c r="D20" s="64">
        <f t="shared" ca="1" si="0"/>
        <v>-24273.26635994242</v>
      </c>
      <c r="E20" s="35"/>
      <c r="M20" s="86" t="str">
        <f ca="1">IF('NPV Project'!B25="","",OFFSET('NPV Project'!C$6,0,COUNTIF('NPV Project'!C25:M25,"&lt;0")-1,1,1))</f>
        <v/>
      </c>
      <c r="N20" s="87" t="str">
        <f ca="1">IF('NPV Project'!B25="","",ABS(OFFSET('NPV Project'!C25,0,'DATA EX1'!M20,1,1)/(ABS(OFFSET('NPV Project'!C25,0,'DATA EX1'!M20,1,1))+ABS(OFFSET('NPV Project'!C25,0,'DATA EX1'!M20+1,1,1)))))</f>
        <v/>
      </c>
      <c r="P20" s="125"/>
      <c r="Q20" s="123" t="str">
        <f ca="1">IF($P20="","",SUM(OFFSET('Cash Flow of Project'!$C24,0,0,1,'Cash Flow of Project'!C$6+1)))</f>
        <v/>
      </c>
      <c r="R20" s="123" t="str">
        <f ca="1">IF($P20="","",SUM(OFFSET('Cash Flow of Project'!$C24,0,0,1,'Cash Flow of Project'!D$6+1)))</f>
        <v/>
      </c>
      <c r="S20" s="123" t="str">
        <f ca="1">IF($P20="","",SUM(OFFSET('Cash Flow of Project'!$C24,0,0,1,'Cash Flow of Project'!E$6+1)))</f>
        <v/>
      </c>
      <c r="T20" s="123" t="str">
        <f ca="1">IF($P20="","",SUM(OFFSET('Cash Flow of Project'!$C24,0,0,1,'Cash Flow of Project'!F$6+1)))</f>
        <v/>
      </c>
      <c r="U20" s="123" t="str">
        <f ca="1">IF($P20="","",SUM(OFFSET('Cash Flow of Project'!$C24,0,0,1,'Cash Flow of Project'!G$6+1)))</f>
        <v/>
      </c>
      <c r="V20" s="123" t="str">
        <f ca="1">IF($P20="","",SUM(OFFSET('Cash Flow of Project'!$C24,0,0,1,'Cash Flow of Project'!H$6+1)))</f>
        <v/>
      </c>
      <c r="W20" s="123" t="str">
        <f ca="1">IF($P20="","",SUM(OFFSET('Cash Flow of Project'!$C24,0,0,1,'Cash Flow of Project'!I$6+1)))</f>
        <v/>
      </c>
      <c r="X20" s="123" t="str">
        <f ca="1">IF($P20="","",SUM(OFFSET('Cash Flow of Project'!$C24,0,0,1,'Cash Flow of Project'!J$6+1)))</f>
        <v/>
      </c>
      <c r="Y20" s="123" t="str">
        <f ca="1">IF($P20="","",SUM(OFFSET('Cash Flow of Project'!$C24,0,0,1,'Cash Flow of Project'!K$6+1)))</f>
        <v/>
      </c>
      <c r="Z20" s="123" t="str">
        <f ca="1">IF($P20="","",SUM(OFFSET('Cash Flow of Project'!$C24,0,0,1,'Cash Flow of Project'!L$6+1)))</f>
        <v/>
      </c>
      <c r="AA20" s="123" t="str">
        <f ca="1">IF($P20="","",SUM(OFFSET('Cash Flow of Project'!$C24,0,0,1,'Cash Flow of Project'!M$6+1)))</f>
        <v/>
      </c>
      <c r="AC20" t="str">
        <f t="shared" ca="1" si="1"/>
        <v/>
      </c>
      <c r="AD20" s="87" t="str">
        <f t="shared" ca="1" si="2"/>
        <v/>
      </c>
    </row>
    <row r="21" spans="1:30" x14ac:dyDescent="0.35">
      <c r="A21" s="61">
        <v>0.18</v>
      </c>
      <c r="B21" s="64">
        <f ca="1">NPV($A21,OFFSET('Cash Flow of Project'!$D$8,MATCH('DATA EX1'!B$2,'Cash Flow of Project'!$B$8:$B$48,0)-1,0,1,10))+OFFSET('Cash Flow of Project'!$C$8,MATCH('DATA EX1'!B$2,'Cash Flow of Project'!$B$8:$B$42,0)-1,0,1,1)</f>
        <v>-30565.050755831464</v>
      </c>
      <c r="C21" s="64">
        <f ca="1">NPV($A21,OFFSET('Cash Flow of Project'!$D$8,MATCH('DATA EX1'!C$2,'Cash Flow of Project'!$B$8:$B$48,0)-1,0,1,10))+OFFSET('Cash Flow of Project'!$C$8,MATCH('DATA EX1'!C$2,'Cash Flow of Project'!$B$8:$B$42,0)-1,0,1,1)</f>
        <v>-4806.0856073681189</v>
      </c>
      <c r="D21" s="64">
        <f t="shared" ca="1" si="0"/>
        <v>-25758.965148463343</v>
      </c>
      <c r="E21" s="35"/>
      <c r="M21" s="86" t="str">
        <f ca="1">IF('NPV Project'!B26="","",OFFSET('NPV Project'!C$6,0,COUNTIF('NPV Project'!C26:M26,"&lt;0")-1,1,1))</f>
        <v/>
      </c>
      <c r="N21" s="87" t="str">
        <f ca="1">IF('NPV Project'!B26="","",ABS(OFFSET('NPV Project'!C26,0,'DATA EX1'!M21,1,1)/(ABS(OFFSET('NPV Project'!C26,0,'DATA EX1'!M21,1,1))+ABS(OFFSET('NPV Project'!C26,0,'DATA EX1'!M21+1,1,1)))))</f>
        <v/>
      </c>
      <c r="P21" s="125"/>
      <c r="Q21" s="123" t="str">
        <f ca="1">IF($P21="","",SUM(OFFSET('Cash Flow of Project'!$C25,0,0,1,'Cash Flow of Project'!C$6+1)))</f>
        <v/>
      </c>
      <c r="R21" s="123" t="str">
        <f ca="1">IF($P21="","",SUM(OFFSET('Cash Flow of Project'!$C25,0,0,1,'Cash Flow of Project'!D$6+1)))</f>
        <v/>
      </c>
      <c r="S21" s="123" t="str">
        <f ca="1">IF($P21="","",SUM(OFFSET('Cash Flow of Project'!$C25,0,0,1,'Cash Flow of Project'!E$6+1)))</f>
        <v/>
      </c>
      <c r="T21" s="123" t="str">
        <f ca="1">IF($P21="","",SUM(OFFSET('Cash Flow of Project'!$C25,0,0,1,'Cash Flow of Project'!F$6+1)))</f>
        <v/>
      </c>
      <c r="U21" s="123" t="str">
        <f ca="1">IF($P21="","",SUM(OFFSET('Cash Flow of Project'!$C25,0,0,1,'Cash Flow of Project'!G$6+1)))</f>
        <v/>
      </c>
      <c r="V21" s="123" t="str">
        <f ca="1">IF($P21="","",SUM(OFFSET('Cash Flow of Project'!$C25,0,0,1,'Cash Flow of Project'!H$6+1)))</f>
        <v/>
      </c>
      <c r="W21" s="123" t="str">
        <f ca="1">IF($P21="","",SUM(OFFSET('Cash Flow of Project'!$C25,0,0,1,'Cash Flow of Project'!I$6+1)))</f>
        <v/>
      </c>
      <c r="X21" s="123" t="str">
        <f ca="1">IF($P21="","",SUM(OFFSET('Cash Flow of Project'!$C25,0,0,1,'Cash Flow of Project'!J$6+1)))</f>
        <v/>
      </c>
      <c r="Y21" s="123" t="str">
        <f ca="1">IF($P21="","",SUM(OFFSET('Cash Flow of Project'!$C25,0,0,1,'Cash Flow of Project'!K$6+1)))</f>
        <v/>
      </c>
      <c r="Z21" s="123" t="str">
        <f ca="1">IF($P21="","",SUM(OFFSET('Cash Flow of Project'!$C25,0,0,1,'Cash Flow of Project'!L$6+1)))</f>
        <v/>
      </c>
      <c r="AA21" s="123" t="str">
        <f ca="1">IF($P21="","",SUM(OFFSET('Cash Flow of Project'!$C25,0,0,1,'Cash Flow of Project'!M$6+1)))</f>
        <v/>
      </c>
      <c r="AC21" t="str">
        <f t="shared" ca="1" si="1"/>
        <v/>
      </c>
      <c r="AD21" s="16" t="str">
        <f t="shared" ca="1" si="2"/>
        <v/>
      </c>
    </row>
    <row r="22" spans="1:30" x14ac:dyDescent="0.35">
      <c r="A22" s="61">
        <v>0.19</v>
      </c>
      <c r="B22" s="64">
        <f ca="1">NPV($A22,OFFSET('Cash Flow of Project'!$D$8,MATCH('DATA EX1'!B$2,'Cash Flow of Project'!$B$8:$B$48,0)-1,0,1,10))+OFFSET('Cash Flow of Project'!$C$8,MATCH('DATA EX1'!B$2,'Cash Flow of Project'!$B$8:$B$42,0)-1,0,1,1)</f>
        <v>-32271.71646344418</v>
      </c>
      <c r="C22" s="64">
        <f ca="1">NPV($A22,OFFSET('Cash Flow of Project'!$D$8,MATCH('DATA EX1'!C$2,'Cash Flow of Project'!$B$8:$B$48,0)-1,0,1,10))+OFFSET('Cash Flow of Project'!$C$8,MATCH('DATA EX1'!C$2,'Cash Flow of Project'!$B$8:$B$42,0)-1,0,1,1)</f>
        <v>-5114.0858372462062</v>
      </c>
      <c r="D22" s="64">
        <f t="shared" ca="1" si="0"/>
        <v>-27157.630626197973</v>
      </c>
      <c r="E22" s="35"/>
      <c r="M22" s="86" t="str">
        <f ca="1">IF('NPV Project'!B27="","",OFFSET('NPV Project'!C$6,0,COUNTIF('NPV Project'!C27:M27,"&lt;0")-1,1,1))</f>
        <v/>
      </c>
      <c r="N22" s="87" t="str">
        <f ca="1">IF('NPV Project'!B27="","",ABS(OFFSET('NPV Project'!C27,0,'DATA EX1'!M22,1,1)/(ABS(OFFSET('NPV Project'!C27,0,'DATA EX1'!M22,1,1))+ABS(OFFSET('NPV Project'!C27,0,'DATA EX1'!M22+1,1,1)))))</f>
        <v/>
      </c>
      <c r="P22" s="125"/>
      <c r="Q22" s="123" t="str">
        <f ca="1">IF($P22="","",SUM(OFFSET('Cash Flow of Project'!$C26,0,0,1,'Cash Flow of Project'!C$6+1)))</f>
        <v/>
      </c>
      <c r="R22" s="123" t="str">
        <f ca="1">IF($P22="","",SUM(OFFSET('Cash Flow of Project'!$C26,0,0,1,'Cash Flow of Project'!D$6+1)))</f>
        <v/>
      </c>
      <c r="S22" s="123" t="str">
        <f ca="1">IF($P22="","",SUM(OFFSET('Cash Flow of Project'!$C26,0,0,1,'Cash Flow of Project'!E$6+1)))</f>
        <v/>
      </c>
      <c r="T22" s="123" t="str">
        <f ca="1">IF($P22="","",SUM(OFFSET('Cash Flow of Project'!$C26,0,0,1,'Cash Flow of Project'!F$6+1)))</f>
        <v/>
      </c>
      <c r="U22" s="123" t="str">
        <f ca="1">IF($P22="","",SUM(OFFSET('Cash Flow of Project'!$C26,0,0,1,'Cash Flow of Project'!G$6+1)))</f>
        <v/>
      </c>
      <c r="V22" s="123" t="str">
        <f ca="1">IF($P22="","",SUM(OFFSET('Cash Flow of Project'!$C26,0,0,1,'Cash Flow of Project'!H$6+1)))</f>
        <v/>
      </c>
      <c r="W22" s="123" t="str">
        <f ca="1">IF($P22="","",SUM(OFFSET('Cash Flow of Project'!$C26,0,0,1,'Cash Flow of Project'!I$6+1)))</f>
        <v/>
      </c>
      <c r="X22" s="123" t="str">
        <f ca="1">IF($P22="","",SUM(OFFSET('Cash Flow of Project'!$C26,0,0,1,'Cash Flow of Project'!J$6+1)))</f>
        <v/>
      </c>
      <c r="Y22" s="123" t="str">
        <f ca="1">IF($P22="","",SUM(OFFSET('Cash Flow of Project'!$C26,0,0,1,'Cash Flow of Project'!K$6+1)))</f>
        <v/>
      </c>
      <c r="Z22" s="123" t="str">
        <f ca="1">IF($P22="","",SUM(OFFSET('Cash Flow of Project'!$C26,0,0,1,'Cash Flow of Project'!L$6+1)))</f>
        <v/>
      </c>
      <c r="AA22" s="123" t="str">
        <f ca="1">IF($P22="","",SUM(OFFSET('Cash Flow of Project'!$C26,0,0,1,'Cash Flow of Project'!M$6+1)))</f>
        <v/>
      </c>
      <c r="AC22" t="str">
        <f t="shared" ca="1" si="1"/>
        <v/>
      </c>
      <c r="AD22" s="16" t="str">
        <f t="shared" ca="1" si="2"/>
        <v/>
      </c>
    </row>
    <row r="23" spans="1:30" x14ac:dyDescent="0.35">
      <c r="A23" s="61">
        <v>0.2</v>
      </c>
      <c r="B23" s="64">
        <f ca="1">NPV($A23,OFFSET('Cash Flow of Project'!$D$8,MATCH('DATA EX1'!B$2,'Cash Flow of Project'!$B$8:$B$48,0)-1,0,1,10))+OFFSET('Cash Flow of Project'!$C$8,MATCH('DATA EX1'!B$2,'Cash Flow of Project'!$B$8:$B$42,0)-1,0,1,1)</f>
        <v>-33882.807058941515</v>
      </c>
      <c r="C23" s="64">
        <f ca="1">NPV($A23,OFFSET('Cash Flow of Project'!$D$8,MATCH('DATA EX1'!C$2,'Cash Flow of Project'!$B$8:$B$48,0)-1,0,1,10))+OFFSET('Cash Flow of Project'!$C$8,MATCH('DATA EX1'!C$2,'Cash Flow of Project'!$B$8:$B$42,0)-1,0,1,1)</f>
        <v>-5407.1004920172218</v>
      </c>
      <c r="D23" s="64">
        <f t="shared" ca="1" si="0"/>
        <v>-28475.706566924295</v>
      </c>
      <c r="E23" s="35"/>
      <c r="M23" s="86" t="str">
        <f ca="1">IF('NPV Project'!B28="","",OFFSET('NPV Project'!C$6,0,COUNTIF('NPV Project'!C28:M28,"&lt;0")-1,1,1))</f>
        <v/>
      </c>
      <c r="N23" s="87" t="str">
        <f ca="1">IF('NPV Project'!B28="","",ABS(OFFSET('NPV Project'!C28,0,'DATA EX1'!M23,1,1)/(ABS(OFFSET('NPV Project'!C28,0,'DATA EX1'!M23,1,1))+ABS(OFFSET('NPV Project'!C28,0,'DATA EX1'!M23+1,1,1)))))</f>
        <v/>
      </c>
      <c r="P23" s="125"/>
      <c r="Q23" s="123" t="str">
        <f ca="1">IF($P23="","",SUM(OFFSET('Cash Flow of Project'!$C27,0,0,1,'Cash Flow of Project'!C$6+1)))</f>
        <v/>
      </c>
      <c r="R23" s="123" t="str">
        <f ca="1">IF($P23="","",SUM(OFFSET('Cash Flow of Project'!$C27,0,0,1,'Cash Flow of Project'!D$6+1)))</f>
        <v/>
      </c>
      <c r="S23" s="123" t="str">
        <f ca="1">IF($P23="","",SUM(OFFSET('Cash Flow of Project'!$C27,0,0,1,'Cash Flow of Project'!E$6+1)))</f>
        <v/>
      </c>
      <c r="T23" s="123" t="str">
        <f ca="1">IF($P23="","",SUM(OFFSET('Cash Flow of Project'!$C27,0,0,1,'Cash Flow of Project'!F$6+1)))</f>
        <v/>
      </c>
      <c r="U23" s="123" t="str">
        <f ca="1">IF($P23="","",SUM(OFFSET('Cash Flow of Project'!$C27,0,0,1,'Cash Flow of Project'!G$6+1)))</f>
        <v/>
      </c>
      <c r="V23" s="123" t="str">
        <f ca="1">IF($P23="","",SUM(OFFSET('Cash Flow of Project'!$C27,0,0,1,'Cash Flow of Project'!H$6+1)))</f>
        <v/>
      </c>
      <c r="W23" s="123" t="str">
        <f ca="1">IF($P23="","",SUM(OFFSET('Cash Flow of Project'!$C27,0,0,1,'Cash Flow of Project'!I$6+1)))</f>
        <v/>
      </c>
      <c r="X23" s="123" t="str">
        <f ca="1">IF($P23="","",SUM(OFFSET('Cash Flow of Project'!$C27,0,0,1,'Cash Flow of Project'!J$6+1)))</f>
        <v/>
      </c>
      <c r="Y23" s="123" t="str">
        <f ca="1">IF($P23="","",SUM(OFFSET('Cash Flow of Project'!$C27,0,0,1,'Cash Flow of Project'!K$6+1)))</f>
        <v/>
      </c>
      <c r="Z23" s="123" t="str">
        <f ca="1">IF($P23="","",SUM(OFFSET('Cash Flow of Project'!$C27,0,0,1,'Cash Flow of Project'!L$6+1)))</f>
        <v/>
      </c>
      <c r="AA23" s="123" t="str">
        <f ca="1">IF($P23="","",SUM(OFFSET('Cash Flow of Project'!$C27,0,0,1,'Cash Flow of Project'!M$6+1)))</f>
        <v/>
      </c>
      <c r="AC23" t="str">
        <f t="shared" ca="1" si="1"/>
        <v/>
      </c>
      <c r="AD23" s="16" t="str">
        <f t="shared" ca="1" si="2"/>
        <v/>
      </c>
    </row>
    <row r="24" spans="1:30" x14ac:dyDescent="0.35">
      <c r="A24" s="61">
        <v>0.21</v>
      </c>
      <c r="B24" s="64">
        <f ca="1">NPV($A24,OFFSET('Cash Flow of Project'!$D$8,MATCH('DATA EX1'!B$2,'Cash Flow of Project'!$B$8:$B$48,0)-1,0,1,10))+OFFSET('Cash Flow of Project'!$C$8,MATCH('DATA EX1'!B$2,'Cash Flow of Project'!$B$8:$B$42,0)-1,0,1,1)</f>
        <v>-35405.142420312281</v>
      </c>
      <c r="C24" s="64">
        <f ca="1">NPV($A24,OFFSET('Cash Flow of Project'!$D$8,MATCH('DATA EX1'!C$2,'Cash Flow of Project'!$B$8:$B$48,0)-1,0,1,10))+OFFSET('Cash Flow of Project'!$C$8,MATCH('DATA EX1'!C$2,'Cash Flow of Project'!$B$8:$B$42,0)-1,0,1,1)</f>
        <v>-5686.0611403589137</v>
      </c>
      <c r="D24" s="64">
        <f t="shared" ca="1" si="0"/>
        <v>-29719.081279953367</v>
      </c>
      <c r="E24" s="35"/>
      <c r="M24" s="86" t="str">
        <f ca="1">IF('NPV Project'!B29="","",OFFSET('NPV Project'!C$6,0,COUNTIF('NPV Project'!C29:M29,"&lt;0")-1,1,1))</f>
        <v/>
      </c>
      <c r="N24" s="87" t="str">
        <f ca="1">IF('NPV Project'!B29="","",ABS(OFFSET('NPV Project'!C29,0,'DATA EX1'!M24,1,1)/(ABS(OFFSET('NPV Project'!C29,0,'DATA EX1'!M24,1,1))+ABS(OFFSET('NPV Project'!C29,0,'DATA EX1'!M24+1,1,1)))))</f>
        <v/>
      </c>
      <c r="P24" s="125"/>
      <c r="Q24" s="123" t="str">
        <f ca="1">IF($P24="","",SUM(OFFSET('Cash Flow of Project'!$C28,0,0,1,'Cash Flow of Project'!C$6+1)))</f>
        <v/>
      </c>
      <c r="R24" s="123" t="str">
        <f ca="1">IF($P24="","",SUM(OFFSET('Cash Flow of Project'!$C28,0,0,1,'Cash Flow of Project'!D$6+1)))</f>
        <v/>
      </c>
      <c r="S24" s="123" t="str">
        <f ca="1">IF($P24="","",SUM(OFFSET('Cash Flow of Project'!$C28,0,0,1,'Cash Flow of Project'!E$6+1)))</f>
        <v/>
      </c>
      <c r="T24" s="123" t="str">
        <f ca="1">IF($P24="","",SUM(OFFSET('Cash Flow of Project'!$C28,0,0,1,'Cash Flow of Project'!F$6+1)))</f>
        <v/>
      </c>
      <c r="U24" s="123" t="str">
        <f ca="1">IF($P24="","",SUM(OFFSET('Cash Flow of Project'!$C28,0,0,1,'Cash Flow of Project'!G$6+1)))</f>
        <v/>
      </c>
      <c r="V24" s="123" t="str">
        <f ca="1">IF($P24="","",SUM(OFFSET('Cash Flow of Project'!$C28,0,0,1,'Cash Flow of Project'!H$6+1)))</f>
        <v/>
      </c>
      <c r="W24" s="123" t="str">
        <f ca="1">IF($P24="","",SUM(OFFSET('Cash Flow of Project'!$C28,0,0,1,'Cash Flow of Project'!I$6+1)))</f>
        <v/>
      </c>
      <c r="X24" s="123" t="str">
        <f ca="1">IF($P24="","",SUM(OFFSET('Cash Flow of Project'!$C28,0,0,1,'Cash Flow of Project'!J$6+1)))</f>
        <v/>
      </c>
      <c r="Y24" s="123" t="str">
        <f ca="1">IF($P24="","",SUM(OFFSET('Cash Flow of Project'!$C28,0,0,1,'Cash Flow of Project'!K$6+1)))</f>
        <v/>
      </c>
      <c r="Z24" s="123" t="str">
        <f ca="1">IF($P24="","",SUM(OFFSET('Cash Flow of Project'!$C28,0,0,1,'Cash Flow of Project'!L$6+1)))</f>
        <v/>
      </c>
      <c r="AA24" s="123" t="str">
        <f ca="1">IF($P24="","",SUM(OFFSET('Cash Flow of Project'!$C28,0,0,1,'Cash Flow of Project'!M$6+1)))</f>
        <v/>
      </c>
      <c r="AC24" t="str">
        <f t="shared" ca="1" si="1"/>
        <v/>
      </c>
      <c r="AD24" s="16" t="str">
        <f t="shared" ca="1" si="2"/>
        <v/>
      </c>
    </row>
    <row r="25" spans="1:30" x14ac:dyDescent="0.35">
      <c r="A25" s="61">
        <v>0.22</v>
      </c>
      <c r="B25" s="64">
        <f ca="1">NPV($A25,OFFSET('Cash Flow of Project'!$D$8,MATCH('DATA EX1'!B$2,'Cash Flow of Project'!$B$8:$B$48,0)-1,0,1,10))+OFFSET('Cash Flow of Project'!$C$8,MATCH('DATA EX1'!B$2,'Cash Flow of Project'!$B$8:$B$42,0)-1,0,1,1)</f>
        <v>-36844.972341026856</v>
      </c>
      <c r="C25" s="64">
        <f ca="1">NPV($A25,OFFSET('Cash Flow of Project'!$D$8,MATCH('DATA EX1'!C$2,'Cash Flow of Project'!$B$8:$B$48,0)-1,0,1,10))+OFFSET('Cash Flow of Project'!$C$8,MATCH('DATA EX1'!C$2,'Cash Flow of Project'!$B$8:$B$42,0)-1,0,1,1)</f>
        <v>-5951.8310982691783</v>
      </c>
      <c r="D25" s="64">
        <f t="shared" ca="1" si="0"/>
        <v>-30893.14124275768</v>
      </c>
      <c r="E25" s="35"/>
      <c r="M25" s="86" t="str">
        <f ca="1">IF('NPV Project'!B30="","",OFFSET('NPV Project'!C$6,0,COUNTIF('NPV Project'!C30:M30,"&lt;0")-1,1,1))</f>
        <v/>
      </c>
      <c r="N25" s="87" t="str">
        <f ca="1">IF('NPV Project'!B30="","",ABS(OFFSET('NPV Project'!C30,0,'DATA EX1'!M25,1,1)/(ABS(OFFSET('NPV Project'!C30,0,'DATA EX1'!M25,1,1))+ABS(OFFSET('NPV Project'!C30,0,'DATA EX1'!M25+1,1,1)))))</f>
        <v/>
      </c>
      <c r="P25" s="125"/>
      <c r="Q25" s="123" t="str">
        <f ca="1">IF($P25="","",SUM(OFFSET('Cash Flow of Project'!$C29,0,0,1,'Cash Flow of Project'!C$6+1)))</f>
        <v/>
      </c>
      <c r="R25" s="123" t="str">
        <f ca="1">IF($P25="","",SUM(OFFSET('Cash Flow of Project'!$C29,0,0,1,'Cash Flow of Project'!D$6+1)))</f>
        <v/>
      </c>
      <c r="S25" s="123" t="str">
        <f ca="1">IF($P25="","",SUM(OFFSET('Cash Flow of Project'!$C29,0,0,1,'Cash Flow of Project'!E$6+1)))</f>
        <v/>
      </c>
      <c r="T25" s="123" t="str">
        <f ca="1">IF($P25="","",SUM(OFFSET('Cash Flow of Project'!$C29,0,0,1,'Cash Flow of Project'!F$6+1)))</f>
        <v/>
      </c>
      <c r="U25" s="123" t="str">
        <f ca="1">IF($P25="","",SUM(OFFSET('Cash Flow of Project'!$C29,0,0,1,'Cash Flow of Project'!G$6+1)))</f>
        <v/>
      </c>
      <c r="V25" s="123" t="str">
        <f ca="1">IF($P25="","",SUM(OFFSET('Cash Flow of Project'!$C29,0,0,1,'Cash Flow of Project'!H$6+1)))</f>
        <v/>
      </c>
      <c r="W25" s="123" t="str">
        <f ca="1">IF($P25="","",SUM(OFFSET('Cash Flow of Project'!$C29,0,0,1,'Cash Flow of Project'!I$6+1)))</f>
        <v/>
      </c>
      <c r="X25" s="123" t="str">
        <f ca="1">IF($P25="","",SUM(OFFSET('Cash Flow of Project'!$C29,0,0,1,'Cash Flow of Project'!J$6+1)))</f>
        <v/>
      </c>
      <c r="Y25" s="123" t="str">
        <f ca="1">IF($P25="","",SUM(OFFSET('Cash Flow of Project'!$C29,0,0,1,'Cash Flow of Project'!K$6+1)))</f>
        <v/>
      </c>
      <c r="Z25" s="123" t="str">
        <f ca="1">IF($P25="","",SUM(OFFSET('Cash Flow of Project'!$C29,0,0,1,'Cash Flow of Project'!L$6+1)))</f>
        <v/>
      </c>
      <c r="AA25" s="123" t="str">
        <f ca="1">IF($P25="","",SUM(OFFSET('Cash Flow of Project'!$C29,0,0,1,'Cash Flow of Project'!M$6+1)))</f>
        <v/>
      </c>
      <c r="AC25" t="str">
        <f t="shared" ca="1" si="1"/>
        <v/>
      </c>
      <c r="AD25" s="16" t="str">
        <f t="shared" ca="1" si="2"/>
        <v/>
      </c>
    </row>
    <row r="26" spans="1:30" x14ac:dyDescent="0.35">
      <c r="A26" s="61">
        <v>0.23</v>
      </c>
      <c r="B26" s="64">
        <f ca="1">NPV($A26,OFFSET('Cash Flow of Project'!$D$8,MATCH('DATA EX1'!B$2,'Cash Flow of Project'!$B$8:$B$48,0)-1,0,1,10))+OFFSET('Cash Flow of Project'!$C$8,MATCH('DATA EX1'!B$2,'Cash Flow of Project'!$B$8:$B$42,0)-1,0,1,1)</f>
        <v>-38208.030154159227</v>
      </c>
      <c r="C26" s="64">
        <f ca="1">NPV($A26,OFFSET('Cash Flow of Project'!$D$8,MATCH('DATA EX1'!C$2,'Cash Flow of Project'!$B$8:$B$48,0)-1,0,1,10))+OFFSET('Cash Flow of Project'!$C$8,MATCH('DATA EX1'!C$2,'Cash Flow of Project'!$B$8:$B$42,0)-1,0,1,1)</f>
        <v>-6205.2110955062471</v>
      </c>
      <c r="D26" s="64">
        <f t="shared" ca="1" si="0"/>
        <v>-32002.819058652982</v>
      </c>
      <c r="E26" s="35"/>
      <c r="M26" s="86" t="str">
        <f ca="1">IF('NPV Project'!B31="","",OFFSET('NPV Project'!C$6,0,COUNTIF('NPV Project'!C31:M31,"&lt;0")-1,1,1))</f>
        <v/>
      </c>
      <c r="N26" s="87" t="str">
        <f ca="1">IF('NPV Project'!B31="","",ABS(OFFSET('NPV Project'!C31,0,'DATA EX1'!M26,1,1)/(ABS(OFFSET('NPV Project'!C31,0,'DATA EX1'!M26,1,1))+ABS(OFFSET('NPV Project'!C31,0,'DATA EX1'!M26+1,1,1)))))</f>
        <v/>
      </c>
      <c r="P26" s="125"/>
      <c r="Q26" s="123" t="str">
        <f ca="1">IF($P26="","",SUM(OFFSET('Cash Flow of Project'!$C30,0,0,1,'Cash Flow of Project'!C$6+1)))</f>
        <v/>
      </c>
      <c r="R26" s="123" t="str">
        <f ca="1">IF($P26="","",SUM(OFFSET('Cash Flow of Project'!$C30,0,0,1,'Cash Flow of Project'!D$6+1)))</f>
        <v/>
      </c>
      <c r="S26" s="123" t="str">
        <f ca="1">IF($P26="","",SUM(OFFSET('Cash Flow of Project'!$C30,0,0,1,'Cash Flow of Project'!E$6+1)))</f>
        <v/>
      </c>
      <c r="T26" s="123" t="str">
        <f ca="1">IF($P26="","",SUM(OFFSET('Cash Flow of Project'!$C30,0,0,1,'Cash Flow of Project'!F$6+1)))</f>
        <v/>
      </c>
      <c r="U26" s="123" t="str">
        <f ca="1">IF($P26="","",SUM(OFFSET('Cash Flow of Project'!$C30,0,0,1,'Cash Flow of Project'!G$6+1)))</f>
        <v/>
      </c>
      <c r="V26" s="123" t="str">
        <f ca="1">IF($P26="","",SUM(OFFSET('Cash Flow of Project'!$C30,0,0,1,'Cash Flow of Project'!H$6+1)))</f>
        <v/>
      </c>
      <c r="W26" s="123" t="str">
        <f ca="1">IF($P26="","",SUM(OFFSET('Cash Flow of Project'!$C30,0,0,1,'Cash Flow of Project'!I$6+1)))</f>
        <v/>
      </c>
      <c r="X26" s="123" t="str">
        <f ca="1">IF($P26="","",SUM(OFFSET('Cash Flow of Project'!$C30,0,0,1,'Cash Flow of Project'!J$6+1)))</f>
        <v/>
      </c>
      <c r="Y26" s="123" t="str">
        <f ca="1">IF($P26="","",SUM(OFFSET('Cash Flow of Project'!$C30,0,0,1,'Cash Flow of Project'!K$6+1)))</f>
        <v/>
      </c>
      <c r="Z26" s="123" t="str">
        <f ca="1">IF($P26="","",SUM(OFFSET('Cash Flow of Project'!$C30,0,0,1,'Cash Flow of Project'!L$6+1)))</f>
        <v/>
      </c>
      <c r="AA26" s="123" t="str">
        <f ca="1">IF($P26="","",SUM(OFFSET('Cash Flow of Project'!$C30,0,0,1,'Cash Flow of Project'!M$6+1)))</f>
        <v/>
      </c>
      <c r="AC26" t="str">
        <f t="shared" ca="1" si="1"/>
        <v/>
      </c>
      <c r="AD26" s="16" t="str">
        <f t="shared" ca="1" si="2"/>
        <v/>
      </c>
    </row>
    <row r="27" spans="1:30" x14ac:dyDescent="0.35">
      <c r="A27" s="61">
        <v>0.24</v>
      </c>
      <c r="B27" s="64">
        <f ca="1">NPV($A27,OFFSET('Cash Flow of Project'!$D$8,MATCH('DATA EX1'!B$2,'Cash Flow of Project'!$B$8:$B$48,0)-1,0,1,10))+OFFSET('Cash Flow of Project'!$C$8,MATCH('DATA EX1'!B$2,'Cash Flow of Project'!$B$8:$B$42,0)-1,0,1,1)</f>
        <v>-39499.580809527411</v>
      </c>
      <c r="C27" s="64">
        <f ca="1">NPV($A27,OFFSET('Cash Flow of Project'!$D$8,MATCH('DATA EX1'!C$2,'Cash Flow of Project'!$B$8:$B$48,0)-1,0,1,10))+OFFSET('Cash Flow of Project'!$C$8,MATCH('DATA EX1'!C$2,'Cash Flow of Project'!$B$8:$B$42,0)-1,0,1,1)</f>
        <v>-6446.9444210748534</v>
      </c>
      <c r="D27" s="64">
        <f t="shared" ca="1" si="0"/>
        <v>-33052.636388452556</v>
      </c>
      <c r="E27" s="35"/>
      <c r="M27" s="86" t="str">
        <f ca="1">IF('NPV Project'!B32="","",OFFSET('NPV Project'!C$6,0,COUNTIF('NPV Project'!C32:M32,"&lt;0")-1,1,1))</f>
        <v/>
      </c>
      <c r="N27" s="87" t="str">
        <f ca="1">IF('NPV Project'!B32="","",ABS(OFFSET('NPV Project'!C32,0,'DATA EX1'!M27,1,1)/(ABS(OFFSET('NPV Project'!C32,0,'DATA EX1'!M27,1,1))+ABS(OFFSET('NPV Project'!C32,0,'DATA EX1'!M27+1,1,1)))))</f>
        <v/>
      </c>
      <c r="P27" s="125"/>
      <c r="Q27" s="123" t="str">
        <f ca="1">IF($P27="","",SUM(OFFSET('Cash Flow of Project'!$C31,0,0,1,'Cash Flow of Project'!C$6+1)))</f>
        <v/>
      </c>
      <c r="R27" s="123" t="str">
        <f ca="1">IF($P27="","",SUM(OFFSET('Cash Flow of Project'!$C31,0,0,1,'Cash Flow of Project'!D$6+1)))</f>
        <v/>
      </c>
      <c r="S27" s="123" t="str">
        <f ca="1">IF($P27="","",SUM(OFFSET('Cash Flow of Project'!$C31,0,0,1,'Cash Flow of Project'!E$6+1)))</f>
        <v/>
      </c>
      <c r="T27" s="123" t="str">
        <f ca="1">IF($P27="","",SUM(OFFSET('Cash Flow of Project'!$C31,0,0,1,'Cash Flow of Project'!F$6+1)))</f>
        <v/>
      </c>
      <c r="U27" s="123" t="str">
        <f ca="1">IF($P27="","",SUM(OFFSET('Cash Flow of Project'!$C31,0,0,1,'Cash Flow of Project'!G$6+1)))</f>
        <v/>
      </c>
      <c r="V27" s="123" t="str">
        <f ca="1">IF($P27="","",SUM(OFFSET('Cash Flow of Project'!$C31,0,0,1,'Cash Flow of Project'!H$6+1)))</f>
        <v/>
      </c>
      <c r="W27" s="123" t="str">
        <f ca="1">IF($P27="","",SUM(OFFSET('Cash Flow of Project'!$C31,0,0,1,'Cash Flow of Project'!I$6+1)))</f>
        <v/>
      </c>
      <c r="X27" s="123" t="str">
        <f ca="1">IF($P27="","",SUM(OFFSET('Cash Flow of Project'!$C31,0,0,1,'Cash Flow of Project'!J$6+1)))</f>
        <v/>
      </c>
      <c r="Y27" s="123" t="str">
        <f ca="1">IF($P27="","",SUM(OFFSET('Cash Flow of Project'!$C31,0,0,1,'Cash Flow of Project'!K$6+1)))</f>
        <v/>
      </c>
      <c r="Z27" s="123" t="str">
        <f ca="1">IF($P27="","",SUM(OFFSET('Cash Flow of Project'!$C31,0,0,1,'Cash Flow of Project'!L$6+1)))</f>
        <v/>
      </c>
      <c r="AA27" s="123" t="str">
        <f ca="1">IF($P27="","",SUM(OFFSET('Cash Flow of Project'!$C31,0,0,1,'Cash Flow of Project'!M$6+1)))</f>
        <v/>
      </c>
      <c r="AC27" t="str">
        <f t="shared" ca="1" si="1"/>
        <v/>
      </c>
    </row>
    <row r="28" spans="1:30" x14ac:dyDescent="0.35">
      <c r="A28" s="61">
        <v>0.25</v>
      </c>
      <c r="B28" s="64">
        <f ca="1">NPV($A28,OFFSET('Cash Flow of Project'!$D$8,MATCH('DATA EX1'!B$2,'Cash Flow of Project'!$B$8:$B$48,0)-1,0,1,10))+OFFSET('Cash Flow of Project'!$C$8,MATCH('DATA EX1'!B$2,'Cash Flow of Project'!$B$8:$B$42,0)-1,0,1,1)</f>
        <v>-40724.464025599998</v>
      </c>
      <c r="C28" s="64">
        <f ca="1">NPV($A28,OFFSET('Cash Flow of Project'!$D$8,MATCH('DATA EX1'!C$2,'Cash Flow of Project'!$B$8:$B$48,0)-1,0,1,10))+OFFSET('Cash Flow of Project'!$C$8,MATCH('DATA EX1'!C$2,'Cash Flow of Project'!$B$8:$B$42,0)-1,0,1,1)</f>
        <v>-6677.7215999999989</v>
      </c>
      <c r="D28" s="64">
        <f t="shared" ca="1" si="0"/>
        <v>-34046.742425600001</v>
      </c>
      <c r="E28" s="35"/>
      <c r="M28" s="86" t="str">
        <f ca="1">IF('NPV Project'!B33="","",OFFSET('NPV Project'!C$6,0,COUNTIF('NPV Project'!C33:M33,"&lt;0")-1,1,1))</f>
        <v/>
      </c>
      <c r="N28" s="87" t="str">
        <f ca="1">IF('NPV Project'!B33="","",ABS(OFFSET('NPV Project'!C33,0,'DATA EX1'!M28,1,1)/(ABS(OFFSET('NPV Project'!C33,0,'DATA EX1'!M28,1,1))+ABS(OFFSET('NPV Project'!C33,0,'DATA EX1'!M28+1,1,1)))))</f>
        <v/>
      </c>
      <c r="P28" s="125"/>
      <c r="Q28" s="123" t="str">
        <f ca="1">IF($P28="","",SUM(OFFSET('Cash Flow of Project'!$C32,0,0,1,'Cash Flow of Project'!C$6+1)))</f>
        <v/>
      </c>
      <c r="R28" s="123" t="str">
        <f ca="1">IF($P28="","",SUM(OFFSET('Cash Flow of Project'!$C32,0,0,1,'Cash Flow of Project'!D$6+1)))</f>
        <v/>
      </c>
      <c r="S28" s="123" t="str">
        <f ca="1">IF($P28="","",SUM(OFFSET('Cash Flow of Project'!$C32,0,0,1,'Cash Flow of Project'!E$6+1)))</f>
        <v/>
      </c>
      <c r="T28" s="123" t="str">
        <f ca="1">IF($P28="","",SUM(OFFSET('Cash Flow of Project'!$C32,0,0,1,'Cash Flow of Project'!F$6+1)))</f>
        <v/>
      </c>
      <c r="U28" s="123" t="str">
        <f ca="1">IF($P28="","",SUM(OFFSET('Cash Flow of Project'!$C32,0,0,1,'Cash Flow of Project'!G$6+1)))</f>
        <v/>
      </c>
      <c r="V28" s="123" t="str">
        <f ca="1">IF($P28="","",SUM(OFFSET('Cash Flow of Project'!$C32,0,0,1,'Cash Flow of Project'!H$6+1)))</f>
        <v/>
      </c>
      <c r="W28" s="123" t="str">
        <f ca="1">IF($P28="","",SUM(OFFSET('Cash Flow of Project'!$C32,0,0,1,'Cash Flow of Project'!I$6+1)))</f>
        <v/>
      </c>
      <c r="X28" s="123" t="str">
        <f ca="1">IF($P28="","",SUM(OFFSET('Cash Flow of Project'!$C32,0,0,1,'Cash Flow of Project'!J$6+1)))</f>
        <v/>
      </c>
      <c r="Y28" s="123" t="str">
        <f ca="1">IF($P28="","",SUM(OFFSET('Cash Flow of Project'!$C32,0,0,1,'Cash Flow of Project'!K$6+1)))</f>
        <v/>
      </c>
      <c r="Z28" s="123" t="str">
        <f ca="1">IF($P28="","",SUM(OFFSET('Cash Flow of Project'!$C32,0,0,1,'Cash Flow of Project'!L$6+1)))</f>
        <v/>
      </c>
      <c r="AA28" s="123" t="str">
        <f ca="1">IF($P28="","",SUM(OFFSET('Cash Flow of Project'!$C32,0,0,1,'Cash Flow of Project'!M$6+1)))</f>
        <v/>
      </c>
    </row>
    <row r="29" spans="1:30" x14ac:dyDescent="0.35">
      <c r="A29" s="61">
        <v>0.26</v>
      </c>
      <c r="B29" s="64">
        <f ca="1">NPV($A29,OFFSET('Cash Flow of Project'!$D$8,MATCH('DATA EX1'!B$2,'Cash Flow of Project'!$B$8:$B$48,0)-1,0,1,10))+OFFSET('Cash Flow of Project'!$C$8,MATCH('DATA EX1'!B$2,'Cash Flow of Project'!$B$8:$B$42,0)-1,0,1,1)</f>
        <v>-41887.133063176632</v>
      </c>
      <c r="C29" s="64">
        <f ca="1">NPV($A29,OFFSET('Cash Flow of Project'!$D$8,MATCH('DATA EX1'!C$2,'Cash Flow of Project'!$B$8:$B$48,0)-1,0,1,10))+OFFSET('Cash Flow of Project'!$C$8,MATCH('DATA EX1'!C$2,'Cash Flow of Project'!$B$8:$B$42,0)-1,0,1,1)</f>
        <v>-6898.1846479770938</v>
      </c>
      <c r="D29" s="64">
        <f t="shared" ca="1" si="0"/>
        <v>-34988.948415199542</v>
      </c>
      <c r="M29" s="86" t="str">
        <f ca="1">IF('NPV Project'!B34="","",OFFSET('NPV Project'!C$6,0,COUNTIF('NPV Project'!C34:M34,"&lt;0")-1,1,1))</f>
        <v/>
      </c>
      <c r="N29" s="87" t="str">
        <f ca="1">IF('NPV Project'!B34="","",ABS(OFFSET('NPV Project'!C34,0,'DATA EX1'!M29,1,1)/(ABS(OFFSET('NPV Project'!C34,0,'DATA EX1'!M29,1,1))+ABS(OFFSET('NPV Project'!C34,0,'DATA EX1'!M29+1,1,1)))))</f>
        <v/>
      </c>
      <c r="P29" s="125"/>
      <c r="Q29" s="123" t="str">
        <f ca="1">IF($P29="","",SUM(OFFSET('Cash Flow of Project'!$C33,0,0,1,'Cash Flow of Project'!C$6+1)))</f>
        <v/>
      </c>
      <c r="R29" s="123" t="str">
        <f ca="1">IF($P29="","",SUM(OFFSET('Cash Flow of Project'!$C33,0,0,1,'Cash Flow of Project'!D$6+1)))</f>
        <v/>
      </c>
      <c r="S29" s="123" t="str">
        <f ca="1">IF($P29="","",SUM(OFFSET('Cash Flow of Project'!$C33,0,0,1,'Cash Flow of Project'!E$6+1)))</f>
        <v/>
      </c>
      <c r="T29" s="123" t="str">
        <f ca="1">IF($P29="","",SUM(OFFSET('Cash Flow of Project'!$C33,0,0,1,'Cash Flow of Project'!F$6+1)))</f>
        <v/>
      </c>
      <c r="U29" s="123" t="str">
        <f ca="1">IF($P29="","",SUM(OFFSET('Cash Flow of Project'!$C33,0,0,1,'Cash Flow of Project'!G$6+1)))</f>
        <v/>
      </c>
      <c r="V29" s="123" t="str">
        <f ca="1">IF($P29="","",SUM(OFFSET('Cash Flow of Project'!$C33,0,0,1,'Cash Flow of Project'!H$6+1)))</f>
        <v/>
      </c>
      <c r="W29" s="123" t="str">
        <f ca="1">IF($P29="","",SUM(OFFSET('Cash Flow of Project'!$C33,0,0,1,'Cash Flow of Project'!I$6+1)))</f>
        <v/>
      </c>
      <c r="X29" s="123" t="str">
        <f ca="1">IF($P29="","",SUM(OFFSET('Cash Flow of Project'!$C33,0,0,1,'Cash Flow of Project'!J$6+1)))</f>
        <v/>
      </c>
      <c r="Y29" s="123" t="str">
        <f ca="1">IF($P29="","",SUM(OFFSET('Cash Flow of Project'!$C33,0,0,1,'Cash Flow of Project'!K$6+1)))</f>
        <v/>
      </c>
      <c r="Z29" s="123" t="str">
        <f ca="1">IF($P29="","",SUM(OFFSET('Cash Flow of Project'!$C33,0,0,1,'Cash Flow of Project'!L$6+1)))</f>
        <v/>
      </c>
      <c r="AA29" s="123" t="str">
        <f ca="1">IF($P29="","",SUM(OFFSET('Cash Flow of Project'!$C33,0,0,1,'Cash Flow of Project'!M$6+1)))</f>
        <v/>
      </c>
    </row>
    <row r="30" spans="1:30" x14ac:dyDescent="0.35">
      <c r="A30" s="61">
        <v>0.27</v>
      </c>
      <c r="B30" s="64">
        <f ca="1">NPV($A30,OFFSET('Cash Flow of Project'!$D$8,MATCH('DATA EX1'!B$2,'Cash Flow of Project'!$B$8:$B$48,0)-1,0,1,10))+OFFSET('Cash Flow of Project'!$C$8,MATCH('DATA EX1'!B$2,'Cash Flow of Project'!$B$8:$B$42,0)-1,0,1,1)</f>
        <v>-42991.689602672661</v>
      </c>
      <c r="C30" s="64">
        <f ca="1">NPV($A30,OFFSET('Cash Flow of Project'!$D$8,MATCH('DATA EX1'!C$2,'Cash Flow of Project'!$B$8:$B$48,0)-1,0,1,10))+OFFSET('Cash Flow of Project'!$C$8,MATCH('DATA EX1'!C$2,'Cash Flow of Project'!$B$8:$B$42,0)-1,0,1,1)</f>
        <v>-7108.9309454888025</v>
      </c>
      <c r="D30" s="64">
        <f t="shared" ca="1" si="0"/>
        <v>-35882.758657183862</v>
      </c>
      <c r="M30" s="86" t="str">
        <f ca="1">IF('NPV Project'!B35="","",OFFSET('NPV Project'!C$6,0,COUNTIF('NPV Project'!C35:M35,"&lt;0")-1,1,1))</f>
        <v/>
      </c>
      <c r="N30" s="87" t="str">
        <f ca="1">IF('NPV Project'!B35="","",ABS(OFFSET('NPV Project'!C35,0,'DATA EX1'!M30,1,1)/(ABS(OFFSET('NPV Project'!C35,0,'DATA EX1'!M30,1,1))+ABS(OFFSET('NPV Project'!C35,0,'DATA EX1'!M30+1,1,1)))))</f>
        <v/>
      </c>
      <c r="P30" s="125"/>
      <c r="Q30" s="123" t="str">
        <f ca="1">IF($P30="","",SUM(OFFSET('Cash Flow of Project'!$C34,0,0,1,'Cash Flow of Project'!C$6+1)))</f>
        <v/>
      </c>
      <c r="R30" s="123" t="str">
        <f ca="1">IF($P30="","",SUM(OFFSET('Cash Flow of Project'!$C34,0,0,1,'Cash Flow of Project'!D$6+1)))</f>
        <v/>
      </c>
      <c r="S30" s="123" t="str">
        <f ca="1">IF($P30="","",SUM(OFFSET('Cash Flow of Project'!$C34,0,0,1,'Cash Flow of Project'!E$6+1)))</f>
        <v/>
      </c>
      <c r="T30" s="123" t="str">
        <f ca="1">IF($P30="","",SUM(OFFSET('Cash Flow of Project'!$C34,0,0,1,'Cash Flow of Project'!F$6+1)))</f>
        <v/>
      </c>
      <c r="U30" s="123" t="str">
        <f ca="1">IF($P30="","",SUM(OFFSET('Cash Flow of Project'!$C34,0,0,1,'Cash Flow of Project'!G$6+1)))</f>
        <v/>
      </c>
      <c r="V30" s="123" t="str">
        <f ca="1">IF($P30="","",SUM(OFFSET('Cash Flow of Project'!$C34,0,0,1,'Cash Flow of Project'!H$6+1)))</f>
        <v/>
      </c>
      <c r="W30" s="123" t="str">
        <f ca="1">IF($P30="","",SUM(OFFSET('Cash Flow of Project'!$C34,0,0,1,'Cash Flow of Project'!I$6+1)))</f>
        <v/>
      </c>
      <c r="X30" s="123" t="str">
        <f ca="1">IF($P30="","",SUM(OFFSET('Cash Flow of Project'!$C34,0,0,1,'Cash Flow of Project'!J$6+1)))</f>
        <v/>
      </c>
      <c r="Y30" s="123" t="str">
        <f ca="1">IF($P30="","",SUM(OFFSET('Cash Flow of Project'!$C34,0,0,1,'Cash Flow of Project'!K$6+1)))</f>
        <v/>
      </c>
      <c r="Z30" s="123" t="str">
        <f ca="1">IF($P30="","",SUM(OFFSET('Cash Flow of Project'!$C34,0,0,1,'Cash Flow of Project'!L$6+1)))</f>
        <v/>
      </c>
      <c r="AA30" s="123" t="str">
        <f ca="1">IF($P30="","",SUM(OFFSET('Cash Flow of Project'!$C34,0,0,1,'Cash Flow of Project'!M$6+1)))</f>
        <v/>
      </c>
    </row>
    <row r="31" spans="1:30" x14ac:dyDescent="0.35">
      <c r="A31" s="61">
        <v>0.28000000000000003</v>
      </c>
      <c r="B31" s="64">
        <f ca="1">NPV($A31,OFFSET('Cash Flow of Project'!$D$8,MATCH('DATA EX1'!B$2,'Cash Flow of Project'!$B$8:$B$48,0)-1,0,1,10))+OFFSET('Cash Flow of Project'!$C$8,MATCH('DATA EX1'!B$2,'Cash Flow of Project'!$B$8:$B$42,0)-1,0,1,1)</f>
        <v>-44041.915149927612</v>
      </c>
      <c r="C31" s="64">
        <f ca="1">NPV($A31,OFFSET('Cash Flow of Project'!$D$8,MATCH('DATA EX1'!C$2,'Cash Flow of Project'!$B$8:$B$48,0)-1,0,1,10))+OFFSET('Cash Flow of Project'!$C$8,MATCH('DATA EX1'!C$2,'Cash Flow of Project'!$B$8:$B$42,0)-1,0,1,1)</f>
        <v>-7310.5167685548622</v>
      </c>
      <c r="D31" s="64">
        <f t="shared" ca="1" si="0"/>
        <v>-36731.398381372754</v>
      </c>
      <c r="M31" s="86" t="str">
        <f ca="1">IF('NPV Project'!B36="","",OFFSET('NPV Project'!C$6,0,COUNTIF('NPV Project'!C36:M36,"&lt;0")-1,1,1))</f>
        <v/>
      </c>
      <c r="N31" s="87" t="str">
        <f ca="1">IF('NPV Project'!B36="","",ABS(OFFSET('NPV Project'!C36,0,'DATA EX1'!M31,1,1)/(ABS(OFFSET('NPV Project'!C36,0,'DATA EX1'!M31,1,1))+ABS(OFFSET('NPV Project'!C36,0,'DATA EX1'!M31+1,1,1)))))</f>
        <v/>
      </c>
      <c r="P31" s="125"/>
      <c r="Q31" s="123" t="str">
        <f ca="1">IF($P31="","",SUM(OFFSET('Cash Flow of Project'!$C35,0,0,1,'Cash Flow of Project'!C$6+1)))</f>
        <v/>
      </c>
      <c r="R31" s="123" t="str">
        <f ca="1">IF($P31="","",SUM(OFFSET('Cash Flow of Project'!$C35,0,0,1,'Cash Flow of Project'!D$6+1)))</f>
        <v/>
      </c>
      <c r="S31" s="123" t="str">
        <f ca="1">IF($P31="","",SUM(OFFSET('Cash Flow of Project'!$C35,0,0,1,'Cash Flow of Project'!E$6+1)))</f>
        <v/>
      </c>
      <c r="T31" s="123" t="str">
        <f ca="1">IF($P31="","",SUM(OFFSET('Cash Flow of Project'!$C35,0,0,1,'Cash Flow of Project'!F$6+1)))</f>
        <v/>
      </c>
      <c r="U31" s="123" t="str">
        <f ca="1">IF($P31="","",SUM(OFFSET('Cash Flow of Project'!$C35,0,0,1,'Cash Flow of Project'!G$6+1)))</f>
        <v/>
      </c>
      <c r="V31" s="123" t="str">
        <f ca="1">IF($P31="","",SUM(OFFSET('Cash Flow of Project'!$C35,0,0,1,'Cash Flow of Project'!H$6+1)))</f>
        <v/>
      </c>
      <c r="W31" s="123" t="str">
        <f ca="1">IF($P31="","",SUM(OFFSET('Cash Flow of Project'!$C35,0,0,1,'Cash Flow of Project'!I$6+1)))</f>
        <v/>
      </c>
      <c r="X31" s="123" t="str">
        <f ca="1">IF($P31="","",SUM(OFFSET('Cash Flow of Project'!$C35,0,0,1,'Cash Flow of Project'!J$6+1)))</f>
        <v/>
      </c>
      <c r="Y31" s="123" t="str">
        <f ca="1">IF($P31="","",SUM(OFFSET('Cash Flow of Project'!$C35,0,0,1,'Cash Flow of Project'!K$6+1)))</f>
        <v/>
      </c>
      <c r="Z31" s="123" t="str">
        <f ca="1">IF($P31="","",SUM(OFFSET('Cash Flow of Project'!$C35,0,0,1,'Cash Flow of Project'!L$6+1)))</f>
        <v/>
      </c>
      <c r="AA31" s="123" t="str">
        <f ca="1">IF($P31="","",SUM(OFFSET('Cash Flow of Project'!$C35,0,0,1,'Cash Flow of Project'!M$6+1)))</f>
        <v/>
      </c>
    </row>
    <row r="32" spans="1:30" ht="15" thickBot="1" x14ac:dyDescent="0.4">
      <c r="A32" s="62">
        <v>0.28999999999999998</v>
      </c>
      <c r="B32" s="65">
        <f ca="1">NPV($A32,OFFSET('Cash Flow of Project'!$D$8,MATCH('DATA EX1'!B$2,'Cash Flow of Project'!$B$8:$B$48,0)-1,0,1,10))+OFFSET('Cash Flow of Project'!$C$8,MATCH('DATA EX1'!B$2,'Cash Flow of Project'!$B$8:$B$42,0)-1,0,1,1)</f>
        <v>-45041.299345704705</v>
      </c>
      <c r="C32" s="65">
        <f ca="1">NPV($A32,OFFSET('Cash Flow of Project'!$D$8,MATCH('DATA EX1'!C$2,'Cash Flow of Project'!$B$8:$B$48,0)-1,0,1,10))+OFFSET('Cash Flow of Project'!$C$8,MATCH('DATA EX1'!C$2,'Cash Flow of Project'!$B$8:$B$42,0)-1,0,1,1)</f>
        <v>-7503.4605093607242</v>
      </c>
      <c r="D32" s="65">
        <f t="shared" ca="1" si="0"/>
        <v>-37537.838836343981</v>
      </c>
      <c r="M32" s="86" t="str">
        <f ca="1">IF('NPV Project'!B37="","",OFFSET('NPV Project'!C$6,0,COUNTIF('NPV Project'!C37:M37,"&lt;0")-1,1,1))</f>
        <v/>
      </c>
      <c r="N32" s="87" t="str">
        <f ca="1">IF('NPV Project'!B37="","",ABS(OFFSET('NPV Project'!C37,0,'DATA EX1'!M32,1,1)/(ABS(OFFSET('NPV Project'!C37,0,'DATA EX1'!M32,1,1))+ABS(OFFSET('NPV Project'!C37,0,'DATA EX1'!M32+1,1,1)))))</f>
        <v/>
      </c>
      <c r="P32" s="125"/>
      <c r="Q32" s="123" t="str">
        <f ca="1">IF($P32="","",SUM(OFFSET('Cash Flow of Project'!$C36,0,0,1,'Cash Flow of Project'!C$6+1)))</f>
        <v/>
      </c>
      <c r="R32" s="123" t="str">
        <f ca="1">IF($P32="","",SUM(OFFSET('Cash Flow of Project'!$C36,0,0,1,'Cash Flow of Project'!D$6+1)))</f>
        <v/>
      </c>
      <c r="S32" s="123" t="str">
        <f ca="1">IF($P32="","",SUM(OFFSET('Cash Flow of Project'!$C36,0,0,1,'Cash Flow of Project'!E$6+1)))</f>
        <v/>
      </c>
      <c r="T32" s="123" t="str">
        <f ca="1">IF($P32="","",SUM(OFFSET('Cash Flow of Project'!$C36,0,0,1,'Cash Flow of Project'!F$6+1)))</f>
        <v/>
      </c>
      <c r="U32" s="123" t="str">
        <f ca="1">IF($P32="","",SUM(OFFSET('Cash Flow of Project'!$C36,0,0,1,'Cash Flow of Project'!G$6+1)))</f>
        <v/>
      </c>
      <c r="V32" s="123" t="str">
        <f ca="1">IF($P32="","",SUM(OFFSET('Cash Flow of Project'!$C36,0,0,1,'Cash Flow of Project'!H$6+1)))</f>
        <v/>
      </c>
      <c r="W32" s="123" t="str">
        <f ca="1">IF($P32="","",SUM(OFFSET('Cash Flow of Project'!$C36,0,0,1,'Cash Flow of Project'!I$6+1)))</f>
        <v/>
      </c>
      <c r="X32" s="123" t="str">
        <f ca="1">IF($P32="","",SUM(OFFSET('Cash Flow of Project'!$C36,0,0,1,'Cash Flow of Project'!J$6+1)))</f>
        <v/>
      </c>
      <c r="Y32" s="123" t="str">
        <f ca="1">IF($P32="","",SUM(OFFSET('Cash Flow of Project'!$C36,0,0,1,'Cash Flow of Project'!K$6+1)))</f>
        <v/>
      </c>
      <c r="Z32" s="123" t="str">
        <f ca="1">IF($P32="","",SUM(OFFSET('Cash Flow of Project'!$C36,0,0,1,'Cash Flow of Project'!L$6+1)))</f>
        <v/>
      </c>
      <c r="AA32" s="123" t="str">
        <f ca="1">IF($P32="","",SUM(OFFSET('Cash Flow of Project'!$C36,0,0,1,'Cash Flow of Project'!M$6+1)))</f>
        <v/>
      </c>
    </row>
    <row r="33" spans="1:27" x14ac:dyDescent="0.35">
      <c r="A33" s="66"/>
      <c r="B33" s="67"/>
      <c r="C33" s="67"/>
      <c r="P33" s="125"/>
      <c r="Q33" s="123" t="str">
        <f ca="1">IF($P33="","",SUM(OFFSET('Cash Flow of Project'!$C37,0,0,1,'Cash Flow of Project'!C$6+1)))</f>
        <v/>
      </c>
      <c r="R33" s="123" t="str">
        <f ca="1">IF($P33="","",SUM(OFFSET('Cash Flow of Project'!$C37,0,0,1,'Cash Flow of Project'!D$6+1)))</f>
        <v/>
      </c>
      <c r="S33" s="123" t="str">
        <f ca="1">IF($P33="","",SUM(OFFSET('Cash Flow of Project'!$C37,0,0,1,'Cash Flow of Project'!E$6+1)))</f>
        <v/>
      </c>
      <c r="T33" s="123" t="str">
        <f ca="1">IF($P33="","",SUM(OFFSET('Cash Flow of Project'!$C37,0,0,1,'Cash Flow of Project'!F$6+1)))</f>
        <v/>
      </c>
      <c r="U33" s="123" t="str">
        <f ca="1">IF($P33="","",SUM(OFFSET('Cash Flow of Project'!$C37,0,0,1,'Cash Flow of Project'!G$6+1)))</f>
        <v/>
      </c>
      <c r="V33" s="123" t="str">
        <f ca="1">IF($P33="","",SUM(OFFSET('Cash Flow of Project'!$C37,0,0,1,'Cash Flow of Project'!H$6+1)))</f>
        <v/>
      </c>
      <c r="W33" s="123" t="str">
        <f ca="1">IF($P33="","",SUM(OFFSET('Cash Flow of Project'!$C37,0,0,1,'Cash Flow of Project'!I$6+1)))</f>
        <v/>
      </c>
      <c r="X33" s="123" t="str">
        <f ca="1">IF($P33="","",SUM(OFFSET('Cash Flow of Project'!$C37,0,0,1,'Cash Flow of Project'!J$6+1)))</f>
        <v/>
      </c>
      <c r="Y33" s="123" t="str">
        <f ca="1">IF($P33="","",SUM(OFFSET('Cash Flow of Project'!$C37,0,0,1,'Cash Flow of Project'!K$6+1)))</f>
        <v/>
      </c>
      <c r="Z33" s="123" t="str">
        <f ca="1">IF($P33="","",SUM(OFFSET('Cash Flow of Project'!$C37,0,0,1,'Cash Flow of Project'!L$6+1)))</f>
        <v/>
      </c>
      <c r="AA33" s="123" t="str">
        <f ca="1">IF($P33="","",SUM(OFFSET('Cash Flow of Project'!$C37,0,0,1,'Cash Flow of Project'!M$6+1)))</f>
        <v/>
      </c>
    </row>
    <row r="34" spans="1:27" x14ac:dyDescent="0.35">
      <c r="A34" s="66"/>
      <c r="B34" s="67"/>
      <c r="C34" s="67"/>
      <c r="P34" s="125"/>
      <c r="Q34" s="123" t="str">
        <f ca="1">IF($P34="","",SUM(OFFSET('Cash Flow of Project'!$C38,0,0,1,'Cash Flow of Project'!C$6+1)))</f>
        <v/>
      </c>
      <c r="R34" s="123" t="str">
        <f ca="1">IF($P34="","",SUM(OFFSET('Cash Flow of Project'!$C38,0,0,1,'Cash Flow of Project'!D$6+1)))</f>
        <v/>
      </c>
      <c r="S34" s="123" t="str">
        <f ca="1">IF($P34="","",SUM(OFFSET('Cash Flow of Project'!$C38,0,0,1,'Cash Flow of Project'!E$6+1)))</f>
        <v/>
      </c>
      <c r="T34" s="123" t="str">
        <f ca="1">IF($P34="","",SUM(OFFSET('Cash Flow of Project'!$C38,0,0,1,'Cash Flow of Project'!F$6+1)))</f>
        <v/>
      </c>
      <c r="U34" s="123" t="str">
        <f ca="1">IF($P34="","",SUM(OFFSET('Cash Flow of Project'!$C38,0,0,1,'Cash Flow of Project'!G$6+1)))</f>
        <v/>
      </c>
      <c r="V34" s="123" t="str">
        <f ca="1">IF($P34="","",SUM(OFFSET('Cash Flow of Project'!$C38,0,0,1,'Cash Flow of Project'!H$6+1)))</f>
        <v/>
      </c>
      <c r="W34" s="123" t="str">
        <f ca="1">IF($P34="","",SUM(OFFSET('Cash Flow of Project'!$C38,0,0,1,'Cash Flow of Project'!I$6+1)))</f>
        <v/>
      </c>
      <c r="X34" s="123" t="str">
        <f ca="1">IF($P34="","",SUM(OFFSET('Cash Flow of Project'!$C38,0,0,1,'Cash Flow of Project'!J$6+1)))</f>
        <v/>
      </c>
      <c r="Y34" s="123" t="str">
        <f ca="1">IF($P34="","",SUM(OFFSET('Cash Flow of Project'!$C38,0,0,1,'Cash Flow of Project'!K$6+1)))</f>
        <v/>
      </c>
      <c r="Z34" s="123" t="str">
        <f ca="1">IF($P34="","",SUM(OFFSET('Cash Flow of Project'!$C38,0,0,1,'Cash Flow of Project'!L$6+1)))</f>
        <v/>
      </c>
      <c r="AA34" s="123" t="str">
        <f ca="1">IF($P34="","",SUM(OFFSET('Cash Flow of Project'!$C38,0,0,1,'Cash Flow of Project'!M$6+1)))</f>
        <v/>
      </c>
    </row>
    <row r="35" spans="1:27" x14ac:dyDescent="0.35">
      <c r="A35" s="66"/>
      <c r="B35" s="67"/>
      <c r="C35" s="67"/>
      <c r="P35" s="125"/>
      <c r="Q35" s="123" t="str">
        <f ca="1">IF($P35="","",SUM(OFFSET('Cash Flow of Project'!$C39,0,0,1,'Cash Flow of Project'!C$6+1)))</f>
        <v/>
      </c>
      <c r="R35" s="123" t="str">
        <f ca="1">IF($P35="","",SUM(OFFSET('Cash Flow of Project'!$C39,0,0,1,'Cash Flow of Project'!D$6+1)))</f>
        <v/>
      </c>
      <c r="S35" s="123" t="str">
        <f ca="1">IF($P35="","",SUM(OFFSET('Cash Flow of Project'!$C39,0,0,1,'Cash Flow of Project'!E$6+1)))</f>
        <v/>
      </c>
      <c r="T35" s="123" t="str">
        <f ca="1">IF($P35="","",SUM(OFFSET('Cash Flow of Project'!$C39,0,0,1,'Cash Flow of Project'!F$6+1)))</f>
        <v/>
      </c>
      <c r="U35" s="123" t="str">
        <f ca="1">IF($P35="","",SUM(OFFSET('Cash Flow of Project'!$C39,0,0,1,'Cash Flow of Project'!G$6+1)))</f>
        <v/>
      </c>
      <c r="V35" s="123" t="str">
        <f ca="1">IF($P35="","",SUM(OFFSET('Cash Flow of Project'!$C39,0,0,1,'Cash Flow of Project'!H$6+1)))</f>
        <v/>
      </c>
      <c r="W35" s="123" t="str">
        <f ca="1">IF($P35="","",SUM(OFFSET('Cash Flow of Project'!$C39,0,0,1,'Cash Flow of Project'!I$6+1)))</f>
        <v/>
      </c>
      <c r="X35" s="123" t="str">
        <f ca="1">IF($P35="","",SUM(OFFSET('Cash Flow of Project'!$C39,0,0,1,'Cash Flow of Project'!J$6+1)))</f>
        <v/>
      </c>
      <c r="Y35" s="123" t="str">
        <f ca="1">IF($P35="","",SUM(OFFSET('Cash Flow of Project'!$C39,0,0,1,'Cash Flow of Project'!K$6+1)))</f>
        <v/>
      </c>
      <c r="Z35" s="123" t="str">
        <f ca="1">IF($P35="","",SUM(OFFSET('Cash Flow of Project'!$C39,0,0,1,'Cash Flow of Project'!L$6+1)))</f>
        <v/>
      </c>
      <c r="AA35" s="123" t="str">
        <f ca="1">IF($P35="","",SUM(OFFSET('Cash Flow of Project'!$C39,0,0,1,'Cash Flow of Project'!M$6+1)))</f>
        <v/>
      </c>
    </row>
    <row r="36" spans="1:27" x14ac:dyDescent="0.35">
      <c r="A36" s="66"/>
      <c r="B36" s="67"/>
      <c r="C36" s="67"/>
      <c r="P36" s="125"/>
      <c r="Q36" s="123" t="str">
        <f ca="1">IF($P36="","",SUM(OFFSET('Cash Flow of Project'!$C40,0,0,1,'Cash Flow of Project'!C$6+1)))</f>
        <v/>
      </c>
      <c r="R36" s="123" t="str">
        <f ca="1">IF($P36="","",SUM(OFFSET('Cash Flow of Project'!$C40,0,0,1,'Cash Flow of Project'!D$6+1)))</f>
        <v/>
      </c>
      <c r="S36" s="123" t="str">
        <f ca="1">IF($P36="","",SUM(OFFSET('Cash Flow of Project'!$C40,0,0,1,'Cash Flow of Project'!E$6+1)))</f>
        <v/>
      </c>
      <c r="T36" s="123" t="str">
        <f ca="1">IF($P36="","",SUM(OFFSET('Cash Flow of Project'!$C40,0,0,1,'Cash Flow of Project'!F$6+1)))</f>
        <v/>
      </c>
      <c r="U36" s="123" t="str">
        <f ca="1">IF($P36="","",SUM(OFFSET('Cash Flow of Project'!$C40,0,0,1,'Cash Flow of Project'!G$6+1)))</f>
        <v/>
      </c>
      <c r="V36" s="123" t="str">
        <f ca="1">IF($P36="","",SUM(OFFSET('Cash Flow of Project'!$C40,0,0,1,'Cash Flow of Project'!H$6+1)))</f>
        <v/>
      </c>
      <c r="W36" s="123" t="str">
        <f ca="1">IF($P36="","",SUM(OFFSET('Cash Flow of Project'!$C40,0,0,1,'Cash Flow of Project'!I$6+1)))</f>
        <v/>
      </c>
      <c r="X36" s="123" t="str">
        <f ca="1">IF($P36="","",SUM(OFFSET('Cash Flow of Project'!$C40,0,0,1,'Cash Flow of Project'!J$6+1)))</f>
        <v/>
      </c>
      <c r="Y36" s="123" t="str">
        <f ca="1">IF($P36="","",SUM(OFFSET('Cash Flow of Project'!$C40,0,0,1,'Cash Flow of Project'!K$6+1)))</f>
        <v/>
      </c>
      <c r="Z36" s="123" t="str">
        <f ca="1">IF($P36="","",SUM(OFFSET('Cash Flow of Project'!$C40,0,0,1,'Cash Flow of Project'!L$6+1)))</f>
        <v/>
      </c>
      <c r="AA36" s="123" t="str">
        <f ca="1">IF($P36="","",SUM(OFFSET('Cash Flow of Project'!$C40,0,0,1,'Cash Flow of Project'!M$6+1)))</f>
        <v/>
      </c>
    </row>
    <row r="37" spans="1:27" x14ac:dyDescent="0.35">
      <c r="A37" s="66"/>
      <c r="B37" s="67"/>
      <c r="C37" s="67"/>
      <c r="P37" s="125"/>
      <c r="Q37" s="123" t="str">
        <f ca="1">IF($P37="","",SUM(OFFSET('Cash Flow of Project'!$C41,0,0,1,'Cash Flow of Project'!C$6+1)))</f>
        <v/>
      </c>
      <c r="R37" s="123" t="str">
        <f ca="1">IF($P37="","",SUM(OFFSET('Cash Flow of Project'!$C41,0,0,1,'Cash Flow of Project'!D$6+1)))</f>
        <v/>
      </c>
      <c r="S37" s="123" t="str">
        <f ca="1">IF($P37="","",SUM(OFFSET('Cash Flow of Project'!$C41,0,0,1,'Cash Flow of Project'!E$6+1)))</f>
        <v/>
      </c>
      <c r="T37" s="123" t="str">
        <f ca="1">IF($P37="","",SUM(OFFSET('Cash Flow of Project'!$C41,0,0,1,'Cash Flow of Project'!F$6+1)))</f>
        <v/>
      </c>
      <c r="U37" s="123" t="str">
        <f ca="1">IF($P37="","",SUM(OFFSET('Cash Flow of Project'!$C41,0,0,1,'Cash Flow of Project'!G$6+1)))</f>
        <v/>
      </c>
      <c r="V37" s="123" t="str">
        <f ca="1">IF($P37="","",SUM(OFFSET('Cash Flow of Project'!$C41,0,0,1,'Cash Flow of Project'!H$6+1)))</f>
        <v/>
      </c>
      <c r="W37" s="123" t="str">
        <f ca="1">IF($P37="","",SUM(OFFSET('Cash Flow of Project'!$C41,0,0,1,'Cash Flow of Project'!I$6+1)))</f>
        <v/>
      </c>
      <c r="X37" s="123" t="str">
        <f ca="1">IF($P37="","",SUM(OFFSET('Cash Flow of Project'!$C41,0,0,1,'Cash Flow of Project'!J$6+1)))</f>
        <v/>
      </c>
      <c r="Y37" s="123" t="str">
        <f ca="1">IF($P37="","",SUM(OFFSET('Cash Flow of Project'!$C41,0,0,1,'Cash Flow of Project'!K$6+1)))</f>
        <v/>
      </c>
      <c r="Z37" s="123" t="str">
        <f ca="1">IF($P37="","",SUM(OFFSET('Cash Flow of Project'!$C41,0,0,1,'Cash Flow of Project'!L$6+1)))</f>
        <v/>
      </c>
      <c r="AA37" s="123" t="str">
        <f ca="1">IF($P37="","",SUM(OFFSET('Cash Flow of Project'!$C41,0,0,1,'Cash Flow of Project'!M$6+1)))</f>
        <v/>
      </c>
    </row>
    <row r="38" spans="1:27" x14ac:dyDescent="0.35">
      <c r="A38" s="66"/>
      <c r="B38" s="67"/>
      <c r="C38" s="67"/>
    </row>
    <row r="39" spans="1:27" x14ac:dyDescent="0.35">
      <c r="A39" s="66"/>
      <c r="B39" s="67"/>
      <c r="C39" s="67"/>
    </row>
    <row r="40" spans="1:27" x14ac:dyDescent="0.35">
      <c r="A40" s="66"/>
      <c r="B40" s="67"/>
      <c r="C40" s="67"/>
    </row>
    <row r="41" spans="1:27" x14ac:dyDescent="0.35">
      <c r="A41" s="66"/>
      <c r="B41" s="67"/>
      <c r="C41" s="67"/>
    </row>
    <row r="42" spans="1:27" x14ac:dyDescent="0.35">
      <c r="A42" s="66"/>
      <c r="B42" s="67"/>
      <c r="C42" s="67"/>
    </row>
    <row r="43" spans="1:27" x14ac:dyDescent="0.35">
      <c r="A43" s="66"/>
      <c r="B43" s="67"/>
      <c r="C43" s="67"/>
    </row>
  </sheetData>
  <sheetProtection sheet="1" objects="1" scenarios="1"/>
  <mergeCells count="2">
    <mergeCell ref="M2:N2"/>
    <mergeCell ref="AC2:AD2"/>
  </mergeCells>
  <conditionalFormatting sqref="Q4:AA37">
    <cfRule type="cellIs" dxfId="1" priority="1" operator="lessThan">
      <formula>0</formula>
    </cfRule>
    <cfRule type="cellIs" dxfId="0" priority="2" operator="greaterThan">
      <formula>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FD023-A5A0-4C2D-947C-4022DED6D322}">
  <sheetPr codeName="Sheet11"/>
  <dimension ref="B2:C4"/>
  <sheetViews>
    <sheetView showGridLines="0" workbookViewId="0">
      <selection activeCell="C4" sqref="C4"/>
    </sheetView>
  </sheetViews>
  <sheetFormatPr defaultRowHeight="14.5" x14ac:dyDescent="0.35"/>
  <cols>
    <col min="3" max="3" width="22.26953125" customWidth="1"/>
  </cols>
  <sheetData>
    <row r="2" spans="2:3" ht="15" thickBot="1" x14ac:dyDescent="0.4"/>
    <row r="3" spans="2:3" x14ac:dyDescent="0.35">
      <c r="B3" s="79" t="s">
        <v>99</v>
      </c>
      <c r="C3" s="71">
        <f>(LN('Option Pricing'!E8/'Option Pricing'!E9)+('Option Pricing'!E13+'Option Pricing'!E11^2/2)*'Option Pricing'!E10/365)/('Option Pricing'!E11*SQRT('Option Pricing'!E10/365))</f>
        <v>0.53338050622326993</v>
      </c>
    </row>
    <row r="4" spans="2:3" ht="15" thickBot="1" x14ac:dyDescent="0.4">
      <c r="B4" s="108" t="s">
        <v>100</v>
      </c>
      <c r="C4" s="73">
        <f>C3-'Option Pricing'!E11*SQRT('Option Pricing'!E10/365)</f>
        <v>0.14801410623278699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READ ME</vt:lpstr>
      <vt:lpstr>Cash Flow of Project</vt:lpstr>
      <vt:lpstr>NPV Project</vt:lpstr>
      <vt:lpstr>NPV Analysis</vt:lpstr>
      <vt:lpstr>IRR Analysis</vt:lpstr>
      <vt:lpstr>Payback Analysis</vt:lpstr>
      <vt:lpstr>Profitability Index</vt:lpstr>
      <vt:lpstr>Option Pricing</vt:lpstr>
      <vt:lpstr>Option Greeks</vt:lpstr>
      <vt:lpstr>DATA EX1</vt:lpstr>
      <vt:lpstr>DATA EX2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kelvin</dc:creator>
  <cp:lastModifiedBy>kelvin romea</cp:lastModifiedBy>
  <dcterms:created xsi:type="dcterms:W3CDTF">2023-11-27T18:38:40Z</dcterms:created>
  <dcterms:modified xsi:type="dcterms:W3CDTF">2023-11-30T14:40:43Z</dcterms:modified>
</cp:coreProperties>
</file>